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9401eb324741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项目总览" sheetId="1" r:id="Rd0f5092b794d4fe4"/>
    <x:sheet xmlns:r="http://schemas.openxmlformats.org/officeDocument/2006/relationships" name="任务计划" sheetId="2" r:id="Rc51d715230554897"/>
    <x:sheet xmlns:r="http://schemas.openxmlformats.org/officeDocument/2006/relationships" name="产品资料缺口" sheetId="3" r:id="R96b3dff509164d5b"/>
    <x:sheet xmlns:r="http://schemas.openxmlformats.org/officeDocument/2006/relationships" name="待确认事项" sheetId="4" r:id="R852b4c12d9ae4f74"/>
    <x:sheet xmlns:r="http://schemas.openxmlformats.org/officeDocument/2006/relationships" name="OEM规则" sheetId="5" r:id="Rec0e010b914145d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7">
    <x:font>
      <x:sz val="11"/>
      <x:name val="Carlito"/>
    </x:font>
    <x:font>
      <x:sz val="10"/>
      <x:color rgb="FF26332D"/>
      <x:name val="Arial"/>
    </x:font>
    <x:font>
      <x:b/>
      <x:sz val="16"/>
      <x:color rgb="FF000000"/>
      <x:name val="Arial"/>
    </x:font>
    <x:font>
      <x:i/>
      <x:sz val="9"/>
      <x:color rgb="FF66716B"/>
      <x:name val="Arial"/>
    </x:font>
    <x:font>
      <x:b/>
      <x:sz val="11"/>
      <x:color rgb="FFFFFFFF"/>
      <x:name val="Arial"/>
    </x:font>
    <x:font>
      <x:b/>
      <x:sz val="10"/>
      <x:color rgb="FF26332D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1F5B45"/>
      </x:patternFill>
    </x:fill>
  </x:fills>
  <x:borders count="2">
    <x:border>
      <x:left/>
      <x:right/>
      <x:top/>
      <x:bottom/>
      <x:diagonal/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  <x:diagonal/>
    </x:border>
  </x:borders>
  <x:cellStyleXfs count="1">
    <x:xf numFmtId="0" fontId="0" fillId="0" borderId="0"/>
  </x:cellStyleXfs>
  <x:cellXfs count="3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0" fontId="4" fillId="3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3" borderId="1" xfId="0" applyNumberFormat="1" applyFont="1" applyFill="1" applyBorder="1" applyAlignment="1">
      <x:alignment vertical="center"/>
    </x:xf>
    <x:xf numFmtId="200" fontId="1" fillId="0" borderId="1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/>
    <x:xf numFmtId="0" fontId="6" fillId="3" borderId="0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3"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1F4E78"/>
      </x:font>
      <x:fill>
        <x:patternFill patternType="solid">
          <x:bgColor rgb="FFDCE6F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8005451ceb4ea6" /><Relationship Type="http://schemas.openxmlformats.org/officeDocument/2006/relationships/theme" Target="/xl/theme/theme1.xml" Id="Ra9d3f37c075940a7" /><Relationship Type="http://schemas.openxmlformats.org/officeDocument/2006/relationships/sharedStrings" Target="/xl/sharedStrings.xml" Id="R81082dc199cf499c" /><Relationship Type="http://schemas.openxmlformats.org/officeDocument/2006/relationships/worksheet" Target="/xl/worksheets/sheet1.xml" Id="Rd0f5092b794d4fe4" /><Relationship Type="http://schemas.openxmlformats.org/officeDocument/2006/relationships/worksheet" Target="/xl/worksheets/sheet2.xml" Id="Rc51d715230554897" /><Relationship Type="http://schemas.openxmlformats.org/officeDocument/2006/relationships/worksheet" Target="/xl/worksheets/sheet3.xml" Id="R96b3dff509164d5b" /><Relationship Type="http://schemas.openxmlformats.org/officeDocument/2006/relationships/worksheet" Target="/xl/worksheets/sheet4.xml" Id="R852b4c12d9ae4f74" /><Relationship Type="http://schemas.openxmlformats.org/officeDocument/2006/relationships/worksheet" Target="/xl/worksheets/sheet5.xml" Id="Rec0e010b914145d0" /></Relationships>
</file>

<file path=xl/tables/table1.xml><?xml version="1.0" encoding="utf-8"?>
<x:table xmlns:x="http://schemas.openxmlformats.org/spreadsheetml/2006/main" id="1" name="TasksTable" displayName="TasksTable" ref="A4:L51" headerRowCount="1" totalsRowCount="0" totalsRowShown="0">
  <x:autoFilter ref="A4:L51"/>
  <x:tableColumns count="12">
    <x:tableColumn id="1" name="ID"/>
    <x:tableColumn id="2" name="阶段"/>
    <x:tableColumn id="3" name="任务"/>
    <x:tableColumn id="4" name="交付物"/>
    <x:tableColumn id="5" name="负责人角色"/>
    <x:tableColumn id="6" name="优先级"/>
    <x:tableColumn id="7" name="工期 天"/>
    <x:tableColumn id="8" name="依赖"/>
    <x:tableColumn id="9" name="所需输入"/>
    <x:tableColumn id="10" name="状态"/>
    <x:tableColumn id="11" name="验收标准"/>
    <x:tableColumn id="12" name="备注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2" name="ProductGapsTable" displayName="ProductGapsTable" ref="A3:E10" headerRowCount="1" totalsRowCount="0" totalsRowShown="0">
  <x:tableColumns count="5">
    <x:tableColumn id="1" name="产品"/>
    <x:tableColumn id="2" name="现有资料"/>
    <x:tableColumn id="3" name="缺失或冲突"/>
    <x:tableColumn id="4" name="当前完整度"/>
    <x:tableColumn id="5" name="确认状态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DecisionsTable" displayName="DecisionsTable" ref="A3:F13" headerRowCount="1" totalsRowCount="0" totalsRowShown="0">
  <x:tableColumns count="6">
    <x:tableColumn id="1" name="编号"/>
    <x:tableColumn id="2" name="决策事项"/>
    <x:tableColumn id="3" name="责任角色"/>
    <x:tableColumn id="4" name="优先级"/>
    <x:tableColumn id="5" name="状态"/>
    <x:tableColumn id="6" name="影响"/>
  </x:tableColumns>
  <x:tableStyleInfo name="TableStyleMedium4" showFirstColumn="0" showLastColumn="0" showRowStripes="1" showColumnStripes="0"/>
</x:table>
</file>

<file path=xl/tables/table4.xml><?xml version="1.0" encoding="utf-8"?>
<x:table xmlns:x="http://schemas.openxmlformats.org/spreadsheetml/2006/main" id="4" name="OemRulesTable" displayName="OemRulesTable" ref="A3:E7" headerRowCount="1" totalsRowCount="0" totalsRowShown="0">
  <x:tableColumns count="5">
    <x:tableColumn id="1" name="层级"/>
    <x:tableColumn id="2" name="内容"/>
    <x:tableColumn id="3" name="最低要求"/>
    <x:tableColumn id="4" name="费用机制"/>
    <x:tableColumn id="5" name="网站表达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689fc23e241498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64cdc19ff15416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e79ba928f254fb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1d9c113fb5e4d42" /></Relationships>
</file>

<file path=xl/worksheets/sheet1.xml><?xml version="1.0" encoding="utf-8"?>
<x:worksheet xmlns:x="http://schemas.openxmlformats.org/spreadsheetml/2006/main">
  <x:sheetPr>
    <x:tabColor rgb="FF1F5B45"/>
  </x:sheetPr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28" customHeight="1">
      <x:c r="A1" s="30" t="str">
        <x:v>PKYDrip 产品化网站升级项目总览</x:v>
      </x:c>
      <x:c r="B1" s="4"/>
      <x:c r="C1" s="4"/>
      <x:c r="D1" s="4"/>
      <x:c r="E1" s="4"/>
      <x:c r="F1" s="4"/>
      <x:c r="G1" s="4"/>
      <x:c r="H1" s="4"/>
    </x:row>
    <x:row r="2">
      <x:c r="A2" s="4"/>
      <x:c r="B2" s="4"/>
      <x:c r="C2" s="4"/>
      <x:c r="D2" s="4"/>
      <x:c r="E2" s="4"/>
      <x:c r="F2" s="4"/>
      <x:c r="G2" s="4"/>
      <x:c r="H2" s="4"/>
    </x:row>
    <x:row r="3">
      <x:c r="A3" s="20" t="str">
        <x:v>指标</x:v>
      </x:c>
      <x:c r="B3" s="20" t="str">
        <x:v>当前值</x:v>
      </x:c>
      <x:c r="C3" s="4"/>
      <x:c r="D3" s="4"/>
      <x:c r="E3" s="4"/>
      <x:c r="F3" s="4"/>
      <x:c r="G3" s="4"/>
      <x:c r="H3" s="4"/>
    </x:row>
    <x:row r="4">
      <x:c r="A4" s="5" t="str">
        <x:v>任务总数</x:v>
      </x:c>
      <x:c r="B4" s="5" t="n">
        <x:f>COUNTA('任务计划'!A5:A51)</x:f>
        <x:v>47</x:v>
      </x:c>
      <x:c r="C4" s="4"/>
      <x:c r="D4" s="4"/>
      <x:c r="E4" s="4"/>
      <x:c r="F4" s="4"/>
      <x:c r="G4" s="4"/>
      <x:c r="H4" s="4"/>
    </x:row>
    <x:row r="5">
      <x:c r="A5" s="5" t="str">
        <x:v>已完成</x:v>
      </x:c>
      <x:c r="B5" s="5" t="n">
        <x:f>COUNTIF('任务计划'!J5:J51,"已完成")</x:f>
        <x:v>0</x:v>
      </x:c>
      <x:c r="C5" s="4"/>
      <x:c r="D5" s="4"/>
      <x:c r="E5" s="4"/>
      <x:c r="F5" s="4"/>
      <x:c r="G5" s="4"/>
      <x:c r="H5" s="4"/>
    </x:row>
    <x:row r="6">
      <x:c r="A6" s="5" t="str">
        <x:v>进行中</x:v>
      </x:c>
      <x:c r="B6" s="5" t="n">
        <x:f>COUNTIF('任务计划'!J5:J51,"进行中")</x:f>
        <x:v>1</x:v>
      </x:c>
      <x:c r="C6" s="4"/>
      <x:c r="D6" s="4"/>
      <x:c r="E6" s="4"/>
      <x:c r="F6" s="4"/>
      <x:c r="G6" s="4"/>
      <x:c r="H6" s="4"/>
    </x:row>
    <x:row r="7">
      <x:c r="A7" s="5" t="str">
        <x:v>阻塞</x:v>
      </x:c>
      <x:c r="B7" s="5" t="n">
        <x:f>COUNTIF('任务计划'!J5:J51,"阻塞")</x:f>
        <x:v>0</x:v>
      </x:c>
      <x:c r="C7" s="4"/>
      <x:c r="D7" s="4"/>
      <x:c r="E7" s="4"/>
      <x:c r="F7" s="4"/>
      <x:c r="G7" s="4"/>
      <x:c r="H7" s="4"/>
    </x:row>
    <x:row r="8">
      <x:c r="A8" s="5" t="str">
        <x:v>完成率</x:v>
      </x:c>
      <x:c r="B8" s="21" t="n">
        <x:f>IF(B4=0,0,B5/B4)</x:f>
        <x:v>0</x:v>
      </x:c>
      <x:c r="C8" s="4"/>
      <x:c r="D8" s="4"/>
      <x:c r="E8" s="4"/>
      <x:c r="F8" s="4"/>
      <x:c r="G8" s="4"/>
      <x:c r="H8" s="4"/>
    </x:row>
    <x:row r="9">
      <x:c r="A9" s="4"/>
      <x:c r="B9" s="4"/>
      <x:c r="C9" s="4"/>
      <x:c r="D9" s="4"/>
      <x:c r="E9" s="4"/>
      <x:c r="F9" s="4"/>
      <x:c r="G9" s="4"/>
      <x:c r="H9" s="4"/>
    </x:row>
    <x:row r="10">
      <x:c r="A10" s="31" t="str">
        <x:v>当前管理结论</x:v>
      </x:c>
      <x:c r="B10" s="4"/>
      <x:c r="C10" s="4"/>
      <x:c r="D10" s="4"/>
      <x:c r="E10" s="4"/>
      <x:c r="F10" s="4"/>
      <x:c r="G10" s="4"/>
      <x:c r="H10" s="4"/>
    </x:row>
    <x:row r="11" ht="95" customHeight="1">
      <x:c r="A11" s="23" t="str">
        <x:v>可以立即开始产品冻结、资料盘点、模板和本地页面开发。生产上线前必须解决FG301命名冲突，确认FG401和ECpH501产品定义，并补齐真实照片、关键参数、MOQ、交期、质保和认证状态。OEM与开放平台作为独立合作能力，不在每个产品页重复承诺。</x:v>
      </x:c>
      <x:c r="B11" s="4"/>
      <x:c r="C11" s="4"/>
      <x:c r="D11" s="4"/>
      <x:c r="E11" s="4"/>
      <x:c r="F11" s="4"/>
      <x:c r="G11" s="4"/>
      <x:c r="H11" s="4"/>
    </x:row>
    <x:row r="12">
      <x:c r="A12" s="4"/>
      <x:c r="B12" s="4"/>
      <x:c r="C12" s="4"/>
      <x:c r="D12" s="4"/>
      <x:c r="E12" s="4"/>
      <x:c r="F12" s="4"/>
      <x:c r="G12" s="4"/>
      <x:c r="H12" s="4"/>
    </x:row>
    <x:row r="13">
      <x:c r="A13" s="4"/>
      <x:c r="B13" s="4"/>
      <x:c r="C13" s="4"/>
      <x:c r="D13" s="4"/>
      <x:c r="E13" s="4"/>
      <x:c r="F13" s="4"/>
      <x:c r="G13" s="4"/>
      <x:c r="H13" s="4"/>
    </x:row>
    <x:row r="14">
      <x:c r="A14" s="4"/>
      <x:c r="B14" s="4"/>
      <x:c r="C14" s="4"/>
      <x:c r="D14" s="4"/>
      <x:c r="E14" s="4"/>
      <x:c r="F14" s="4"/>
      <x:c r="G14" s="4"/>
      <x:c r="H14" s="4"/>
    </x:row>
    <x:row r="15">
      <x:c r="A15" s="4"/>
      <x:c r="B15" s="4"/>
      <x:c r="C15" s="4"/>
      <x:c r="D15" s="4"/>
      <x:c r="E15" s="4"/>
      <x:c r="F15" s="4"/>
      <x:c r="G15" s="4"/>
      <x:c r="H15" s="4"/>
    </x:row>
    <x:row r="16">
      <x:c r="A16" s="4"/>
      <x:c r="B16" s="4"/>
      <x:c r="C16" s="4"/>
      <x:c r="D16" s="4"/>
      <x:c r="E16" s="4"/>
      <x:c r="F16" s="4"/>
      <x:c r="G16" s="4"/>
      <x:c r="H16" s="4"/>
    </x:row>
    <x:row r="17">
      <x:c r="A17" s="31" t="str">
        <x:v>优先行动</x:v>
      </x:c>
      <x:c r="B17" s="4"/>
      <x:c r="C17" s="4"/>
      <x:c r="D17" s="4"/>
      <x:c r="E17" s="4"/>
      <x:c r="F17" s="4"/>
      <x:c r="G17" s="4"/>
      <x:c r="H17" s="4"/>
    </x:row>
    <x:row r="18">
      <x:c r="A18" s="5" t="str">
        <x:v>1</x:v>
      </x:c>
      <x:c r="B18" s="5" t="str">
        <x:v>批准A B C产品清单</x:v>
      </x:c>
      <x:c r="C18" s="5" t="str"/>
      <x:c r="D18" s="5" t="str"/>
      <x:c r="E18" s="5" t="str"/>
      <x:c r="F18" s="5" t="str"/>
      <x:c r="G18" s="5" t="str"/>
      <x:c r="H18" s="5" t="str"/>
    </x:row>
    <x:row r="19">
      <x:c r="A19" s="5" t="str">
        <x:v>2</x:v>
      </x:c>
      <x:c r="B19" s="5" t="str">
        <x:v>冻结智能版和本地版正式型号</x:v>
      </x:c>
      <x:c r="C19" s="5" t="str"/>
      <x:c r="D19" s="5" t="str"/>
      <x:c r="E19" s="5" t="str"/>
      <x:c r="F19" s="5" t="str"/>
      <x:c r="G19" s="5" t="str"/>
      <x:c r="H19" s="5" t="str"/>
    </x:row>
    <x:row r="20">
      <x:c r="A20" s="5" t="str">
        <x:v>3</x:v>
      </x:c>
      <x:c r="B20" s="5" t="str">
        <x:v>解决FG301命名冲突并重建FG401定义</x:v>
      </x:c>
      <x:c r="C20" s="5" t="str"/>
      <x:c r="D20" s="5" t="str"/>
      <x:c r="E20" s="5" t="str"/>
      <x:c r="F20" s="5" t="str"/>
      <x:c r="G20" s="5" t="str"/>
      <x:c r="H20" s="5" t="str"/>
    </x:row>
    <x:row r="21">
      <x:c r="A21" s="5" t="str">
        <x:v>4</x:v>
      </x:c>
      <x:c r="B21" s="5" t="str">
        <x:v>确认ECpH301和ECpH501参数与供货边界</x:v>
      </x:c>
      <x:c r="C21" s="5" t="str"/>
      <x:c r="D21" s="5" t="str"/>
      <x:c r="E21" s="5" t="str"/>
      <x:c r="F21" s="5" t="str"/>
      <x:c r="G21" s="5" t="str"/>
      <x:c r="H21" s="5" t="str"/>
    </x:row>
    <x:row r="22">
      <x:c r="A22" s="5" t="str">
        <x:v>5</x:v>
      </x:c>
      <x:c r="B22" s="5" t="str">
        <x:v>完成MOQ 交期 质保 认证和毛利底表</x:v>
      </x:c>
      <x:c r="C22" s="5" t="str"/>
      <x:c r="D22" s="5" t="str"/>
      <x:c r="E22" s="5" t="str"/>
      <x:c r="F22" s="5" t="str"/>
      <x:c r="G22" s="5" t="str"/>
      <x:c r="H22" s="5" t="str"/>
    </x:row>
  </x:sheetData>
  <x:mergeCells>
    <x:mergeCell ref="A1:H1"/>
    <x:mergeCell ref="A10:H10"/>
    <x:mergeCell ref="A11:H15"/>
    <x:mergeCell ref="A17:H17"/>
    <x:mergeCell ref="B18:H18"/>
    <x:mergeCell ref="B19:H19"/>
    <x:mergeCell ref="B20:H20"/>
    <x:mergeCell ref="B21:H21"/>
    <x:mergeCell ref="B22:H2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F5B45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0" hidden="0" customWidth="1"/>
    <x:col min="2" max="2" width="18" hidden="0" customWidth="1"/>
    <x:col min="3" max="3" width="30" hidden="0" customWidth="1"/>
    <x:col min="4" max="4" width="25" hidden="0" customWidth="1"/>
    <x:col min="5" max="5" width="18" hidden="0" customWidth="1"/>
    <x:col min="6" max="6" width="9" hidden="0" customWidth="1"/>
    <x:col min="7" max="7" width="10" hidden="0" customWidth="1"/>
    <x:col min="8" max="8" width="16" hidden="0" customWidth="1"/>
    <x:col min="9" max="9" width="34" hidden="0" customWidth="1"/>
    <x:col min="10" max="10" width="12" hidden="0" customWidth="1"/>
    <x:col min="11" max="11" width="38" hidden="0" customWidth="1"/>
    <x:col min="12" max="12" width="18" hidden="0" customWidth="1"/>
  </x:cols>
  <x:sheetData>
    <x:row r="1" ht="28" customHeight="1">
      <x:c r="A1" s="30" t="str">
        <x:v>PKYDrip 产品化网站升级任务计划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>
      <x:c r="A2" s="32" t="str">
        <x:v>黄色字段代表需要企业提供或确认的输入。状态和负责人可直接编辑。计划采用相对阶段，不承诺固定日历日期。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</x:row>
    <x:row r="3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</x:row>
    <x:row r="4" ht="32" customHeight="1">
      <x:c r="A4" s="5" t="str">
        <x:v>ID</x:v>
      </x:c>
      <x:c r="B4" s="5" t="str">
        <x:v>阶段</x:v>
      </x:c>
      <x:c r="C4" s="5" t="str">
        <x:v>任务</x:v>
      </x:c>
      <x:c r="D4" s="5" t="str">
        <x:v>交付物</x:v>
      </x:c>
      <x:c r="E4" s="5" t="str">
        <x:v>负责人角色</x:v>
      </x:c>
      <x:c r="F4" s="5" t="str">
        <x:v>优先级</x:v>
      </x:c>
      <x:c r="G4" s="5" t="str">
        <x:v>工期 天</x:v>
      </x:c>
      <x:c r="H4" s="5" t="str">
        <x:v>依赖</x:v>
      </x:c>
      <x:c r="I4" s="5" t="str">
        <x:v>所需输入</x:v>
      </x:c>
      <x:c r="J4" s="5" t="str">
        <x:v>状态</x:v>
      </x:c>
      <x:c r="K4" s="5" t="str">
        <x:v>验收标准</x:v>
      </x:c>
      <x:c r="L4" s="5" t="str">
        <x:v>备注</x:v>
      </x:c>
    </x:row>
    <x:row r="5">
      <x:c r="A5" s="5" t="str">
        <x:v>T001</x:v>
      </x:c>
      <x:c r="B5" s="5" t="str">
        <x:v>P0 产品冻结</x:v>
      </x:c>
      <x:c r="C5" s="6" t="str">
        <x:v>确认A B C产品清单</x:v>
      </x:c>
      <x:c r="D5" s="6" t="str">
        <x:v>批准的产品分层清单</x:v>
      </x:c>
      <x:c r="E5" s="6" t="str">
        <x:v>负责人</x:v>
      </x:c>
      <x:c r="F5" s="5" t="str">
        <x:v>P0</x:v>
      </x:c>
      <x:c r="G5" s="5" t="n">
        <x:v>1</x:v>
      </x:c>
      <x:c r="H5" s="6" t="str"/>
      <x:c r="I5" s="7" t="str">
        <x:v>现有产品与销售记录</x:v>
      </x:c>
      <x:c r="J5" s="6" t="str">
        <x:v>进行中</x:v>
      </x:c>
      <x:c r="K5" s="6" t="str">
        <x:v>A系列核心产品和B C边界得到书面确认</x:v>
      </x:c>
      <x:c r="L5" s="6" t="str"/>
    </x:row>
    <x:row r="6">
      <x:c r="A6" s="5" t="str">
        <x:v>T002</x:v>
      </x:c>
      <x:c r="B6" s="5" t="str">
        <x:v>P0 产品冻结</x:v>
      </x:c>
      <x:c r="C6" s="6" t="str">
        <x:v>确认智能版灌溉控制器正式型号</x:v>
      </x:c>
      <x:c r="D6" s="6" t="str">
        <x:v>正式型号与标准配置</x:v>
      </x:c>
      <x:c r="E6" s="6" t="str">
        <x:v>负责人 产品 研发</x:v>
      </x:c>
      <x:c r="F6" s="5" t="str">
        <x:v>P0</x:v>
      </x:c>
      <x:c r="G6" s="5" t="n">
        <x:v>1</x:v>
      </x:c>
      <x:c r="H6" s="6" t="str">
        <x:v>T001</x:v>
      </x:c>
      <x:c r="I6" s="7" t="str">
        <x:v>Linux工控机 STM32 4G RJ45配置</x:v>
      </x:c>
      <x:c r="J6" s="6" t="str">
        <x:v>未开始</x:v>
      </x:c>
      <x:c r="K6" s="6" t="str">
        <x:v>型号唯一且配置无矛盾</x:v>
      </x:c>
      <x:c r="L6" s="6" t="str"/>
    </x:row>
    <x:row r="7">
      <x:c r="A7" s="5" t="str">
        <x:v>T003</x:v>
      </x:c>
      <x:c r="B7" s="5" t="str">
        <x:v>P0 产品冻结</x:v>
      </x:c>
      <x:c r="C7" s="6" t="str">
        <x:v>确认本地版灌溉控制器正式型号</x:v>
      </x:c>
      <x:c r="D7" s="6" t="str">
        <x:v>正式型号与标准配置</x:v>
      </x:c>
      <x:c r="E7" s="6" t="str">
        <x:v>负责人 产品 研发</x:v>
      </x:c>
      <x:c r="F7" s="5" t="str">
        <x:v>P0</x:v>
      </x:c>
      <x:c r="G7" s="5" t="n">
        <x:v>1</x:v>
      </x:c>
      <x:c r="H7" s="6" t="str">
        <x:v>T001</x:v>
      </x:c>
      <x:c r="I7" s="7" t="str">
        <x:v>STM32 组态屏 输出类型</x:v>
      </x:c>
      <x:c r="J7" s="6" t="str">
        <x:v>未开始</x:v>
      </x:c>
      <x:c r="K7" s="6" t="str">
        <x:v>型号 16路 输出和接口冻结</x:v>
      </x:c>
      <x:c r="L7" s="6" t="str"/>
    </x:row>
    <x:row r="8">
      <x:c r="A8" s="5" t="str">
        <x:v>T004</x:v>
      </x:c>
      <x:c r="B8" s="5" t="str">
        <x:v>P0 产品冻结</x:v>
      </x:c>
      <x:c r="C8" s="6" t="str">
        <x:v>解决FG301型号冲突</x:v>
      </x:c>
      <x:c r="D8" s="6" t="str">
        <x:v>水肥机命名规则</x:v>
      </x:c>
      <x:c r="E8" s="6" t="str">
        <x:v>负责人 产品 研发</x:v>
      </x:c>
      <x:c r="F8" s="5" t="str">
        <x:v>P0</x:v>
      </x:c>
      <x:c r="G8" s="5" t="n">
        <x:v>1</x:v>
      </x:c>
      <x:c r="H8" s="6" t="str">
        <x:v>T001</x:v>
      </x:c>
      <x:c r="I8" s="7" t="str">
        <x:v>大流量版和蠕动泵版定义</x:v>
      </x:c>
      <x:c r="J8" s="6" t="str">
        <x:v>未开始</x:v>
      </x:c>
      <x:c r="K8" s="6" t="str">
        <x:v>两个结构不同的产品使用不同型号</x:v>
      </x:c>
      <x:c r="L8" s="6" t="str"/>
    </x:row>
    <x:row r="9">
      <x:c r="A9" s="5" t="str">
        <x:v>T005</x:v>
      </x:c>
      <x:c r="B9" s="5" t="str">
        <x:v>P0 产品冻结</x:v>
      </x:c>
      <x:c r="C9" s="6" t="str">
        <x:v>确认FG401三肥一酸定义</x:v>
      </x:c>
      <x:c r="D9" s="6" t="str">
        <x:v>FG401产品定义</x:v>
      </x:c>
      <x:c r="E9" s="6" t="str">
        <x:v>产品 研发</x:v>
      </x:c>
      <x:c r="F9" s="5" t="str">
        <x:v>P0</x:v>
      </x:c>
      <x:c r="G9" s="5" t="n">
        <x:v>1</x:v>
      </x:c>
      <x:c r="H9" s="6" t="str">
        <x:v>T001</x:v>
      </x:c>
      <x:c r="I9" s="7" t="str">
        <x:v>蠕动泵 通道 ECpH 控制范围</x:v>
      </x:c>
      <x:c r="J9" s="6" t="str">
        <x:v>未开始</x:v>
      </x:c>
      <x:c r="K9" s="6" t="str">
        <x:v>旧网页与新产品定义冲突消除</x:v>
      </x:c>
      <x:c r="L9" s="6" t="str"/>
    </x:row>
    <x:row r="10">
      <x:c r="A10" s="5" t="str">
        <x:v>T006</x:v>
      </x:c>
      <x:c r="B10" s="5" t="str">
        <x:v>P0 产品冻结</x:v>
      </x:c>
      <x:c r="C10" s="6" t="str">
        <x:v>确认ECpH301标准边界</x:v>
      </x:c>
      <x:c r="D10" s="6" t="str">
        <x:v>ECpH301产品定义</x:v>
      </x:c>
      <x:c r="E10" s="6" t="str">
        <x:v>产品 研发</x:v>
      </x:c>
      <x:c r="F10" s="5" t="str">
        <x:v>P0</x:v>
      </x:c>
      <x:c r="G10" s="5" t="n">
        <x:v>1</x:v>
      </x:c>
      <x:c r="H10" s="6" t="str">
        <x:v>T001</x:v>
      </x:c>
      <x:c r="I10" s="7" t="str">
        <x:v>探头 输出 接口 精度 校准</x:v>
      </x:c>
      <x:c r="J10" s="6" t="str">
        <x:v>未开始</x:v>
      </x:c>
      <x:c r="K10" s="6" t="str">
        <x:v>参数和供货边界完成审核</x:v>
      </x:c>
      <x:c r="L10" s="6" t="str"/>
    </x:row>
    <x:row r="11">
      <x:c r="A11" s="5" t="str">
        <x:v>T007</x:v>
      </x:c>
      <x:c r="B11" s="5" t="str">
        <x:v>P0 产品冻结</x:v>
      </x:c>
      <x:c r="C11" s="6" t="str">
        <x:v>确认ECpH501与现有FG501关系</x:v>
      </x:c>
      <x:c r="D11" s="6" t="str">
        <x:v>ECpH501产品定义</x:v>
      </x:c>
      <x:c r="E11" s="6" t="str">
        <x:v>负责人 产品 研发</x:v>
      </x:c>
      <x:c r="F11" s="5" t="str">
        <x:v>P0</x:v>
      </x:c>
      <x:c r="G11" s="5" t="n">
        <x:v>2</x:v>
      </x:c>
      <x:c r="H11" s="6" t="str">
        <x:v>T001</x:v>
      </x:c>
      <x:c r="I11" s="7" t="str">
        <x:v>四肥一酸 桶容积 双ECpH 配方</x:v>
      </x:c>
      <x:c r="J11" s="6" t="str">
        <x:v>未开始</x:v>
      </x:c>
      <x:c r="K11" s="6" t="str">
        <x:v>型号 功能和旧页面迁移方式确定</x:v>
      </x:c>
      <x:c r="L11" s="6" t="str"/>
    </x:row>
    <x:row r="12">
      <x:c r="A12" s="5" t="str">
        <x:v>T008</x:v>
      </x:c>
      <x:c r="B12" s="5" t="str">
        <x:v>P0 商业规则</x:v>
      </x:c>
      <x:c r="C12" s="6" t="str">
        <x:v>建立标准产品MOQ矩阵</x:v>
      </x:c>
      <x:c r="D12" s="6" t="str">
        <x:v>各型号标准MOQ</x:v>
      </x:c>
      <x:c r="E12" s="6" t="str">
        <x:v>负责人 销售</x:v>
      </x:c>
      <x:c r="F12" s="5" t="str">
        <x:v>P0</x:v>
      </x:c>
      <x:c r="G12" s="5" t="n">
        <x:v>1</x:v>
      </x:c>
      <x:c r="H12" s="6" t="str">
        <x:v>T001</x:v>
      </x:c>
      <x:c r="I12" s="7" t="str">
        <x:v>历史订单与生产约束</x:v>
      </x:c>
      <x:c r="J12" s="6" t="str">
        <x:v>未开始</x:v>
      </x:c>
      <x:c r="K12" s="6" t="str">
        <x:v>每个A产品有样机和批量MOQ</x:v>
      </x:c>
      <x:c r="L12" s="6" t="str"/>
    </x:row>
    <x:row r="13">
      <x:c r="A13" s="5" t="str">
        <x:v>T009</x:v>
      </x:c>
      <x:c r="B13" s="5" t="str">
        <x:v>P0 商业规则</x:v>
      </x:c>
      <x:c r="C13" s="6" t="str">
        <x:v>建立OEM MOQ和NRE矩阵</x:v>
      </x:c>
      <x:c r="D13" s="6" t="str">
        <x:v>OEM商业规则</x:v>
      </x:c>
      <x:c r="E13" s="6" t="str">
        <x:v>负责人 销售 产品</x:v>
      </x:c>
      <x:c r="F13" s="5" t="str">
        <x:v>P0</x:v>
      </x:c>
      <x:c r="G13" s="5" t="n">
        <x:v>2</x:v>
      </x:c>
      <x:c r="H13" s="6" t="str">
        <x:v>T001</x:v>
      </x:c>
      <x:c r="I13" s="7" t="str">
        <x:v>品牌 包装 固件 硬件 平台定制成本</x:v>
      </x:c>
      <x:c r="J13" s="6" t="str">
        <x:v>未开始</x:v>
      </x:c>
      <x:c r="K13" s="6" t="str">
        <x:v>每类定制有MOQ 费用和审核条件</x:v>
      </x:c>
      <x:c r="L13" s="6" t="str"/>
    </x:row>
    <x:row r="14">
      <x:c r="A14" s="5" t="str">
        <x:v>T010</x:v>
      </x:c>
      <x:c r="B14" s="5" t="str">
        <x:v>P0 商业规则</x:v>
      </x:c>
      <x:c r="C14" s="6" t="str">
        <x:v>确认交期包装质保认证</x:v>
      </x:c>
      <x:c r="D14" s="6" t="str">
        <x:v>商业数据表</x:v>
      </x:c>
      <x:c r="E14" s="6" t="str">
        <x:v>负责人 销售 生产</x:v>
      </x:c>
      <x:c r="F14" s="5" t="str">
        <x:v>P0</x:v>
      </x:c>
      <x:c r="G14" s="5" t="n">
        <x:v>2</x:v>
      </x:c>
      <x:c r="H14" s="6" t="str">
        <x:v>T002:T007</x:v>
      </x:c>
      <x:c r="I14" s="7" t="str">
        <x:v>生产 包装 证书 售后资料</x:v>
      </x:c>
      <x:c r="J14" s="6" t="str">
        <x:v>未开始</x:v>
      </x:c>
      <x:c r="K14" s="6" t="str">
        <x:v>每个A产品的商业字段无空缺</x:v>
      </x:c>
      <x:c r="L14" s="6" t="str"/>
    </x:row>
    <x:row r="15">
      <x:c r="A15" s="5" t="str">
        <x:v>T011</x:v>
      </x:c>
      <x:c r="B15" s="5" t="str">
        <x:v>P0 利润管理</x:v>
      </x:c>
      <x:c r="C15" s="6" t="str">
        <x:v>建立型号成本售价毛利表</x:v>
      </x:c>
      <x:c r="D15" s="6" t="str">
        <x:v>内部毛利底表</x:v>
      </x:c>
      <x:c r="E15" s="6" t="str">
        <x:v>负责人 财务 销售</x:v>
      </x:c>
      <x:c r="F15" s="5" t="str">
        <x:v>P0</x:v>
      </x:c>
      <x:c r="G15" s="5" t="n">
        <x:v>2</x:v>
      </x:c>
      <x:c r="H15" s="6" t="str">
        <x:v>T002:T007</x:v>
      </x:c>
      <x:c r="I15" s="7" t="str">
        <x:v>BOM成本 销售价 折扣和售后成本</x:v>
      </x:c>
      <x:c r="J15" s="6" t="str">
        <x:v>未开始</x:v>
      </x:c>
      <x:c r="K15" s="6" t="str">
        <x:v>可按型号查看目标毛利和底价</x:v>
      </x:c>
      <x:c r="L15" s="6" t="str">
        <x:v>内部文件 不公开</x:v>
      </x:c>
    </x:row>
    <x:row r="16">
      <x:c r="A16" s="5" t="str">
        <x:v>T012</x:v>
      </x:c>
      <x:c r="B16" s="5" t="str">
        <x:v>P1 图片资料</x:v>
      </x:c>
      <x:c r="C16" s="6" t="str">
        <x:v>制定统一产品拍摄清单</x:v>
      </x:c>
      <x:c r="D16" s="6" t="str">
        <x:v>拍摄规范和样张要求</x:v>
      </x:c>
      <x:c r="E16" s="6" t="str">
        <x:v>市场 产品</x:v>
      </x:c>
      <x:c r="F16" s="5" t="str">
        <x:v>P1</x:v>
      </x:c>
      <x:c r="G16" s="5" t="n">
        <x:v>1</x:v>
      </x:c>
      <x:c r="H16" s="6" t="str">
        <x:v>T002:T007</x:v>
      </x:c>
      <x:c r="I16" s="7" t="str">
        <x:v>现有照片和产品样机</x:v>
      </x:c>
      <x:c r="J16" s="6" t="str">
        <x:v>未开始</x:v>
      </x:c>
      <x:c r="K16" s="6" t="str">
        <x:v>包含正面 45度 内部 端子 铭牌 尺寸 包装 安装</x:v>
      </x:c>
      <x:c r="L16" s="6" t="str"/>
    </x:row>
    <x:row r="17">
      <x:c r="A17" s="5" t="str">
        <x:v>T013</x:v>
      </x:c>
      <x:c r="B17" s="5" t="str">
        <x:v>P1 图片资料</x:v>
      </x:c>
      <x:c r="C17" s="6" t="str">
        <x:v>拍摄智能版与本地版控制器</x:v>
      </x:c>
      <x:c r="D17" s="6" t="str">
        <x:v>两组完整原图</x:v>
      </x:c>
      <x:c r="E17" s="6" t="str">
        <x:v>市场 产品</x:v>
      </x:c>
      <x:c r="F17" s="5" t="str">
        <x:v>P1</x:v>
      </x:c>
      <x:c r="G17" s="5" t="n">
        <x:v>2</x:v>
      </x:c>
      <x:c r="H17" s="6" t="str">
        <x:v>T012</x:v>
      </x:c>
      <x:c r="I17" s="7" t="str">
        <x:v>可拍摄样机</x:v>
      </x:c>
      <x:c r="J17" s="6" t="str">
        <x:v>未开始</x:v>
      </x:c>
      <x:c r="K17" s="6" t="str">
        <x:v>每个产品至少8类照片且原图可公开</x:v>
      </x:c>
      <x:c r="L17" s="6" t="str"/>
    </x:row>
    <x:row r="18">
      <x:c r="A18" s="5" t="str">
        <x:v>T014</x:v>
      </x:c>
      <x:c r="B18" s="5" t="str">
        <x:v>P1 图片资料</x:v>
      </x:c>
      <x:c r="C18" s="6" t="str">
        <x:v>拍摄FG301与FG401</x:v>
      </x:c>
      <x:c r="D18" s="6" t="str">
        <x:v>两组完整原图</x:v>
      </x:c>
      <x:c r="E18" s="6" t="str">
        <x:v>市场 产品</x:v>
      </x:c>
      <x:c r="F18" s="5" t="str">
        <x:v>P1</x:v>
      </x:c>
      <x:c r="G18" s="5" t="n">
        <x:v>2</x:v>
      </x:c>
      <x:c r="H18" s="6" t="str">
        <x:v>T004:T005,T012</x:v>
      </x:c>
      <x:c r="I18" s="7" t="str">
        <x:v>可拍摄样机</x:v>
      </x:c>
      <x:c r="J18" s="6" t="str">
        <x:v>未开始</x:v>
      </x:c>
      <x:c r="K18" s="6" t="str">
        <x:v>水路 泵组 通道 控制屏和铭牌清楚</x:v>
      </x:c>
      <x:c r="L18" s="6" t="str"/>
    </x:row>
    <x:row r="19">
      <x:c r="A19" s="5" t="str">
        <x:v>T015</x:v>
      </x:c>
      <x:c r="B19" s="5" t="str">
        <x:v>P1 图片资料</x:v>
      </x:c>
      <x:c r="C19" s="6" t="str">
        <x:v>拍摄ECpH301与ECpH501</x:v>
      </x:c>
      <x:c r="D19" s="6" t="str">
        <x:v>两组完整原图</x:v>
      </x:c>
      <x:c r="E19" s="6" t="str">
        <x:v>市场 产品</x:v>
      </x:c>
      <x:c r="F19" s="5" t="str">
        <x:v>P1</x:v>
      </x:c>
      <x:c r="G19" s="5" t="n">
        <x:v>2</x:v>
      </x:c>
      <x:c r="H19" s="6" t="str">
        <x:v>T006:T007,T012</x:v>
      </x:c>
      <x:c r="I19" s="7" t="str">
        <x:v>可拍摄样机</x:v>
      </x:c>
      <x:c r="J19" s="6" t="str">
        <x:v>未开始</x:v>
      </x:c>
      <x:c r="K19" s="6" t="str">
        <x:v>探头 混肥桶 通道和双检测位置清楚</x:v>
      </x:c>
      <x:c r="L19" s="6" t="str"/>
    </x:row>
    <x:row r="20">
      <x:c r="A20" s="5" t="str">
        <x:v>T016</x:v>
      </x:c>
      <x:c r="B20" s="5" t="str">
        <x:v>P1 技术资料</x:v>
      </x:c>
      <x:c r="C20" s="6" t="str">
        <x:v>填写核心产品参数表</x:v>
      </x:c>
      <x:c r="D20" s="6" t="str">
        <x:v>七个已审核参数表</x:v>
      </x:c>
      <x:c r="E20" s="6" t="str">
        <x:v>研发 产品</x:v>
      </x:c>
      <x:c r="F20" s="5" t="str">
        <x:v>P0</x:v>
      </x:c>
      <x:c r="G20" s="5" t="n">
        <x:v>3</x:v>
      </x:c>
      <x:c r="H20" s="6" t="str">
        <x:v>T002:T007</x:v>
      </x:c>
      <x:c r="I20" s="7" t="str">
        <x:v>图纸 BOM 固件与测试数据</x:v>
      </x:c>
      <x:c r="J20" s="6" t="str">
        <x:v>未开始</x:v>
      </x:c>
      <x:c r="K20" s="6" t="str">
        <x:v>所有公开参数可追溯到内部资料</x:v>
      </x:c>
      <x:c r="L20" s="6" t="str"/>
    </x:row>
    <x:row r="21">
      <x:c r="A21" s="5" t="str">
        <x:v>T017</x:v>
      </x:c>
      <x:c r="B21" s="5" t="str">
        <x:v>P1 技术资料</x:v>
      </x:c>
      <x:c r="C21" s="6" t="str">
        <x:v>确认供货边界和可选项</x:v>
      </x:c>
      <x:c r="D21" s="6" t="str">
        <x:v>七个供货边界表</x:v>
      </x:c>
      <x:c r="E21" s="6" t="str">
        <x:v>产品 销售 研发</x:v>
      </x:c>
      <x:c r="F21" s="5" t="str">
        <x:v>P0</x:v>
      </x:c>
      <x:c r="G21" s="5" t="n">
        <x:v>2</x:v>
      </x:c>
      <x:c r="H21" s="6" t="str">
        <x:v>T016</x:v>
      </x:c>
      <x:c r="I21" s="7" t="str">
        <x:v>标准BOM和项目经验</x:v>
      </x:c>
      <x:c r="J21" s="6" t="str">
        <x:v>未开始</x:v>
      </x:c>
      <x:c r="K21" s="6" t="str">
        <x:v>包含 不包含 可选和客户责任清楚</x:v>
      </x:c>
      <x:c r="L21" s="6" t="str"/>
    </x:row>
    <x:row r="22">
      <x:c r="A22" s="5" t="str">
        <x:v>T018</x:v>
      </x:c>
      <x:c r="B22" s="5" t="str">
        <x:v>P1 文档</x:v>
      </x:c>
      <x:c r="C22" s="6" t="str">
        <x:v>制作核心型号Datasheet</x:v>
      </x:c>
      <x:c r="D22" s="6" t="str">
        <x:v>七份英文Datasheet</x:v>
      </x:c>
      <x:c r="E22" s="6" t="str">
        <x:v>GPT 产品 研发</x:v>
      </x:c>
      <x:c r="F22" s="5" t="str">
        <x:v>P1</x:v>
      </x:c>
      <x:c r="G22" s="5" t="n">
        <x:v>4</x:v>
      </x:c>
      <x:c r="H22" s="6" t="str">
        <x:v>T013:T017</x:v>
      </x:c>
      <x:c r="I22" s="7" t="str">
        <x:v>审核后的照片 参数 商业数据</x:v>
      </x:c>
      <x:c r="J22" s="6" t="str">
        <x:v>未开始</x:v>
      </x:c>
      <x:c r="K22" s="6" t="str">
        <x:v>PDF内容与网站一致且经研发审核</x:v>
      </x:c>
      <x:c r="L22" s="6" t="str"/>
    </x:row>
    <x:row r="23">
      <x:c r="A23" s="5" t="str">
        <x:v>T019</x:v>
      </x:c>
      <x:c r="B23" s="5" t="str">
        <x:v>P1 文档</x:v>
      </x:c>
      <x:c r="C23" s="6" t="str">
        <x:v>整理接线和安装资料</x:v>
      </x:c>
      <x:c r="D23" s="6" t="str">
        <x:v>安装接线包</x:v>
      </x:c>
      <x:c r="E23" s="6" t="str">
        <x:v>研发 GPT</x:v>
      </x:c>
      <x:c r="F23" s="5" t="str">
        <x:v>P1</x:v>
      </x:c>
      <x:c r="G23" s="5" t="n">
        <x:v>4</x:v>
      </x:c>
      <x:c r="H23" s="6" t="str">
        <x:v>T016:T017</x:v>
      </x:c>
      <x:c r="I23" s="7" t="str">
        <x:v>接线图 尺寸 端子定义</x:v>
      </x:c>
      <x:c r="J23" s="6" t="str">
        <x:v>未开始</x:v>
      </x:c>
      <x:c r="K23" s="6" t="str">
        <x:v>客户可用于安装前评估</x:v>
      </x:c>
      <x:c r="L23" s="6" t="str"/>
    </x:row>
    <x:row r="24">
      <x:c r="A24" s="5" t="str">
        <x:v>T020</x:v>
      </x:c>
      <x:c r="B24" s="5" t="str">
        <x:v>P1 协议</x:v>
      </x:c>
      <x:c r="C24" s="6" t="str">
        <x:v>整理Modbus MQTT API资料</x:v>
      </x:c>
      <x:c r="D24" s="6" t="str">
        <x:v>协议下载包</x:v>
      </x:c>
      <x:c r="E24" s="6" t="str">
        <x:v>研发 GPT</x:v>
      </x:c>
      <x:c r="F24" s="5" t="str">
        <x:v>P1</x:v>
      </x:c>
      <x:c r="G24" s="5" t="n">
        <x:v>4</x:v>
      </x:c>
      <x:c r="H24" s="6" t="str">
        <x:v>T016</x:v>
      </x:c>
      <x:c r="I24" s="7" t="str">
        <x:v>寄存器 Topic Payload API定义</x:v>
      </x:c>
      <x:c r="J24" s="6" t="str">
        <x:v>未开始</x:v>
      </x:c>
      <x:c r="K24" s="6" t="str">
        <x:v>版本 警告 示例和兼容范围完整</x:v>
      </x:c>
      <x:c r="L24" s="6" t="str"/>
    </x:row>
    <x:row r="25">
      <x:c r="A25" s="5" t="str">
        <x:v>T021</x:v>
      </x:c>
      <x:c r="B25" s="5" t="str">
        <x:v>P1 证据</x:v>
      </x:c>
      <x:c r="C25" s="6" t="str">
        <x:v>建立认证和公开声明台账</x:v>
      </x:c>
      <x:c r="D25" s="6" t="str">
        <x:v>证据台账</x:v>
      </x:c>
      <x:c r="E25" s="6" t="str">
        <x:v>负责人 市场 产品</x:v>
      </x:c>
      <x:c r="F25" s="5" t="str">
        <x:v>P0</x:v>
      </x:c>
      <x:c r="G25" s="5" t="n">
        <x:v>2</x:v>
      </x:c>
      <x:c r="H25" s="6" t="str">
        <x:v>T010</x:v>
      </x:c>
      <x:c r="I25" s="7" t="str">
        <x:v>证书 项目授权 工厂数据</x:v>
      </x:c>
      <x:c r="J25" s="6" t="str">
        <x:v>未开始</x:v>
      </x:c>
      <x:c r="K25" s="6" t="str">
        <x:v>每项公开声明有证据和适用范围</x:v>
      </x:c>
      <x:c r="L25" s="6" t="str"/>
    </x:row>
    <x:row r="26">
      <x:c r="A26" s="5" t="str">
        <x:v>T022</x:v>
      </x:c>
      <x:c r="B26" s="5" t="str">
        <x:v>P2 设计</x:v>
      </x:c>
      <x:c r="C26" s="6" t="str">
        <x:v>确认首页六个核心产品</x:v>
      </x:c>
      <x:c r="D26" s="6" t="str">
        <x:v>首页产品清单</x:v>
      </x:c>
      <x:c r="E26" s="6" t="str">
        <x:v>负责人 销售 市场</x:v>
      </x:c>
      <x:c r="F26" s="5" t="str">
        <x:v>P0</x:v>
      </x:c>
      <x:c r="G26" s="5" t="n">
        <x:v>1</x:v>
      </x:c>
      <x:c r="H26" s="6" t="str">
        <x:v>T001:T011</x:v>
      </x:c>
      <x:c r="I26" s="7" t="str">
        <x:v>询盘 成交 毛利和资料完整度</x:v>
      </x:c>
      <x:c r="J26" s="6" t="str">
        <x:v>未开始</x:v>
      </x:c>
      <x:c r="K26" s="6" t="str">
        <x:v>六个产品兼顾需求 毛利和交付能力</x:v>
      </x:c>
      <x:c r="L26" s="6" t="str"/>
    </x:row>
    <x:row r="27">
      <x:c r="A27" s="5" t="str">
        <x:v>T023</x:v>
      </x:c>
      <x:c r="B27" s="5" t="str">
        <x:v>P2 设计</x:v>
      </x:c>
      <x:c r="C27" s="6" t="str">
        <x:v>设计产品目录筛选规则</x:v>
      </x:c>
      <x:c r="D27" s="6" t="str">
        <x:v>目录信息架构</x:v>
      </x:c>
      <x:c r="E27" s="6" t="str">
        <x:v>GPT 产品 销售</x:v>
      </x:c>
      <x:c r="F27" s="5" t="str">
        <x:v>P1</x:v>
      </x:c>
      <x:c r="G27" s="5" t="n">
        <x:v>2</x:v>
      </x:c>
      <x:c r="H27" s="6" t="str">
        <x:v>T001:T007</x:v>
      </x:c>
      <x:c r="I27" s="7" t="str">
        <x:v>客户常用选型语言</x:v>
      </x:c>
      <x:c r="J27" s="6" t="str">
        <x:v>未开始</x:v>
      </x:c>
      <x:c r="K27" s="6" t="str">
        <x:v>六大分类和二级筛选获得确认</x:v>
      </x:c>
      <x:c r="L27" s="6" t="str"/>
    </x:row>
    <x:row r="28">
      <x:c r="A28" s="5" t="str">
        <x:v>T024</x:v>
      </x:c>
      <x:c r="B28" s="5" t="str">
        <x:v>P2 开发</x:v>
      </x:c>
      <x:c r="C28" s="6" t="str">
        <x:v>开发统一产品卡和筛选器</x:v>
      </x:c>
      <x:c r="D28" s="6" t="str">
        <x:v>本地产品目录</x:v>
      </x:c>
      <x:c r="E28" s="6" t="str">
        <x:v>GPT 网站</x:v>
      </x:c>
      <x:c r="F28" s="5" t="str">
        <x:v>P1</x:v>
      </x:c>
      <x:c r="G28" s="5" t="n">
        <x:v>4</x:v>
      </x:c>
      <x:c r="H28" s="6" t="str">
        <x:v>T023</x:v>
      </x:c>
      <x:c r="I28" s="7" t="str">
        <x:v>产品字段和现有Hugo结构</x:v>
      </x:c>
      <x:c r="J28" s="6" t="str">
        <x:v>未开始</x:v>
      </x:c>
      <x:c r="K28" s="6" t="str">
        <x:v>移动端 桌面端和无JS降级可用</x:v>
      </x:c>
      <x:c r="L28" s="6" t="str"/>
    </x:row>
    <x:row r="29">
      <x:c r="A29" s="5" t="str">
        <x:v>T025</x:v>
      </x:c>
      <x:c r="B29" s="5" t="str">
        <x:v>P2 开发</x:v>
      </x:c>
      <x:c r="C29" s="6" t="str">
        <x:v>开发统一产品页模板</x:v>
      </x:c>
      <x:c r="D29" s="6" t="str">
        <x:v>产品页模板</x:v>
      </x:c>
      <x:c r="E29" s="6" t="str">
        <x:v>GPT 网站</x:v>
      </x:c>
      <x:c r="F29" s="5" t="str">
        <x:v>P1</x:v>
      </x:c>
      <x:c r="G29" s="5" t="n">
        <x:v>4</x:v>
      </x:c>
      <x:c r="H29" s="6" t="str">
        <x:v>T017:T018</x:v>
      </x:c>
      <x:c r="I29" s="7" t="str">
        <x:v>页面字段和下载规则</x:v>
      </x:c>
      <x:c r="J29" s="6" t="str">
        <x:v>未开始</x:v>
      </x:c>
      <x:c r="K29" s="6" t="str">
        <x:v>支持规格 配置 边界 商业信息 FAQ 下载和询价</x:v>
      </x:c>
      <x:c r="L29" s="6" t="str"/>
    </x:row>
    <x:row r="30">
      <x:c r="A30" s="5" t="str">
        <x:v>T026</x:v>
      </x:c>
      <x:c r="B30" s="5" t="str">
        <x:v>P2 开发</x:v>
      </x:c>
      <x:c r="C30" s="6" t="str">
        <x:v>改造首页中段</x:v>
      </x:c>
      <x:c r="D30" s="6" t="str">
        <x:v>本地首页版本</x:v>
      </x:c>
      <x:c r="E30" s="6" t="str">
        <x:v>GPT 网站 市场</x:v>
      </x:c>
      <x:c r="F30" s="5" t="str">
        <x:v>P1</x:v>
      </x:c>
      <x:c r="G30" s="5" t="n">
        <x:v>4</x:v>
      </x:c>
      <x:c r="H30" s="6" t="str">
        <x:v>T022:T025</x:v>
      </x:c>
      <x:c r="I30" s="7" t="str">
        <x:v>核心产品 场景和证据素材</x:v>
      </x:c>
      <x:c r="J30" s="6" t="str">
        <x:v>未开始</x:v>
      </x:c>
      <x:c r="K30" s="6" t="str">
        <x:v>产品优先且保留Hero 经销商入口与URL</x:v>
      </x:c>
      <x:c r="L30" s="6" t="str"/>
    </x:row>
    <x:row r="31">
      <x:c r="A31" s="5" t="str">
        <x:v>T027</x:v>
      </x:c>
      <x:c r="B31" s="5" t="str">
        <x:v>P2 数据</x:v>
      </x:c>
      <x:c r="C31" s="6" t="str">
        <x:v>清理产品目录重复数据</x:v>
      </x:c>
      <x:c r="D31" s="6" t="str">
        <x:v>清晰的数据源</x:v>
      </x:c>
      <x:c r="E31" s="6" t="str">
        <x:v>GPT 网站</x:v>
      </x:c>
      <x:c r="F31" s="5" t="str">
        <x:v>P1</x:v>
      </x:c>
      <x:c r="G31" s="5" t="n">
        <x:v>2</x:v>
      </x:c>
      <x:c r="H31" s="6" t="str">
        <x:v>T023:T025</x:v>
      </x:c>
      <x:c r="I31" s="7" t="str">
        <x:v>module_groups products现状</x:v>
      </x:c>
      <x:c r="J31" s="6" t="str">
        <x:v>未开始</x:v>
      </x:c>
      <x:c r="K31" s="6" t="str">
        <x:v>同一产品只有一个主数据入口且旧URL仍可访问</x:v>
      </x:c>
      <x:c r="L31" s="6" t="str"/>
    </x:row>
    <x:row r="32">
      <x:c r="A32" s="5" t="str">
        <x:v>T028</x:v>
      </x:c>
      <x:c r="B32" s="5" t="str">
        <x:v>P2 追踪</x:v>
      </x:c>
      <x:c r="C32" s="6" t="str">
        <x:v>设计和实现转化事件</x:v>
      </x:c>
      <x:c r="D32" s="6" t="str">
        <x:v>追踪方案与测试记录</x:v>
      </x:c>
      <x:c r="E32" s="6" t="str">
        <x:v>GPT 网站 市场</x:v>
      </x:c>
      <x:c r="F32" s="5" t="str">
        <x:v>P0</x:v>
      </x:c>
      <x:c r="G32" s="5" t="n">
        <x:v>2</x:v>
      </x:c>
      <x:c r="H32" s="6" t="str">
        <x:v>T024:T026</x:v>
      </x:c>
      <x:c r="I32" s="7" t="str">
        <x:v>GA4 Ads Meta Pixel事件定义</x:v>
      </x:c>
      <x:c r="J32" s="6" t="str">
        <x:v>未开始</x:v>
      </x:c>
      <x:c r="K32" s="6" t="str">
        <x:v>型号 浏览 下载 WhatsApp 表单均可验证</x:v>
      </x:c>
      <x:c r="L32" s="6" t="str"/>
    </x:row>
    <x:row r="33">
      <x:c r="A33" s="5" t="str">
        <x:v>T029</x:v>
      </x:c>
      <x:c r="B33" s="5" t="str">
        <x:v>P3 页面</x:v>
      </x:c>
      <x:c r="C33" s="6" t="str">
        <x:v>完成智能版控制器页面</x:v>
      </x:c>
      <x:c r="D33" s="6" t="str">
        <x:v>已审核英文页面</x:v>
      </x:c>
      <x:c r="E33" s="6" t="str">
        <x:v>GPT 产品 研发</x:v>
      </x:c>
      <x:c r="F33" s="5" t="str">
        <x:v>P0</x:v>
      </x:c>
      <x:c r="G33" s="5" t="n">
        <x:v>2</x:v>
      </x:c>
      <x:c r="H33" s="6" t="str">
        <x:v>T002,T013,T016:T018,T025</x:v>
      </x:c>
      <x:c r="I33" s="7" t="str">
        <x:v>确认资料</x:v>
      </x:c>
      <x:c r="J33" s="6" t="str">
        <x:v>未开始</x:v>
      </x:c>
      <x:c r="K33" s="6" t="str">
        <x:v>内容 参数 图片 商业字段一致</x:v>
      </x:c>
      <x:c r="L33" s="6" t="str"/>
    </x:row>
    <x:row r="34">
      <x:c r="A34" s="5" t="str">
        <x:v>T030</x:v>
      </x:c>
      <x:c r="B34" s="5" t="str">
        <x:v>P3 页面</x:v>
      </x:c>
      <x:c r="C34" s="6" t="str">
        <x:v>完成本地版控制器页面</x:v>
      </x:c>
      <x:c r="D34" s="6" t="str">
        <x:v>已审核英文页面</x:v>
      </x:c>
      <x:c r="E34" s="6" t="str">
        <x:v>GPT 产品 研发</x:v>
      </x:c>
      <x:c r="F34" s="5" t="str">
        <x:v>P0</x:v>
      </x:c>
      <x:c r="G34" s="5" t="n">
        <x:v>2</x:v>
      </x:c>
      <x:c r="H34" s="6" t="str">
        <x:v>T003,T013,T016:T018,T025</x:v>
      </x:c>
      <x:c r="I34" s="7" t="str">
        <x:v>确认资料</x:v>
      </x:c>
      <x:c r="J34" s="6" t="str">
        <x:v>未开始</x:v>
      </x:c>
      <x:c r="K34" s="6" t="str">
        <x:v>与智能版差异清楚且无联网误导</x:v>
      </x:c>
      <x:c r="L34" s="6" t="str"/>
    </x:row>
    <x:row r="35">
      <x:c r="A35" s="5" t="str">
        <x:v>T031</x:v>
      </x:c>
      <x:c r="B35" s="5" t="str">
        <x:v>P3 页面</x:v>
      </x:c>
      <x:c r="C35" s="6" t="str">
        <x:v>完成大流量FG301页面</x:v>
      </x:c>
      <x:c r="D35" s="6" t="str">
        <x:v>已审核英文页面</x:v>
      </x:c>
      <x:c r="E35" s="6" t="str">
        <x:v>GPT 产品 研发</x:v>
      </x:c>
      <x:c r="F35" s="5" t="str">
        <x:v>P0</x:v>
      </x:c>
      <x:c r="G35" s="5" t="n">
        <x:v>2</x:v>
      </x:c>
      <x:c r="H35" s="6" t="str">
        <x:v>T004,T014,T016:T018,T025</x:v>
      </x:c>
      <x:c r="I35" s="7" t="str">
        <x:v>确认资料</x:v>
      </x:c>
      <x:c r="J35" s="6" t="str">
        <x:v>未开始</x:v>
      </x:c>
      <x:c r="K35" s="6" t="str">
        <x:v>大田定位和水力参数经过确认</x:v>
      </x:c>
      <x:c r="L35" s="6" t="str"/>
    </x:row>
    <x:row r="36">
      <x:c r="A36" s="5" t="str">
        <x:v>T032</x:v>
      </x:c>
      <x:c r="B36" s="5" t="str">
        <x:v>P3 页面</x:v>
      </x:c>
      <x:c r="C36" s="6" t="str">
        <x:v>完成蠕动泵两肥一酸页面</x:v>
      </x:c>
      <x:c r="D36" s="6" t="str">
        <x:v>已审核英文页面</x:v>
      </x:c>
      <x:c r="E36" s="6" t="str">
        <x:v>GPT 产品 研发</x:v>
      </x:c>
      <x:c r="F36" s="5" t="str">
        <x:v>P0</x:v>
      </x:c>
      <x:c r="G36" s="5" t="n">
        <x:v>2</x:v>
      </x:c>
      <x:c r="H36" s="6" t="str">
        <x:v>T004,T014,T016:T018,T025</x:v>
      </x:c>
      <x:c r="I36" s="7" t="str">
        <x:v>确认资料</x:v>
      </x:c>
      <x:c r="J36" s="6" t="str">
        <x:v>未开始</x:v>
      </x:c>
      <x:c r="K36" s="6" t="str">
        <x:v>型号和小流量应用清楚</x:v>
      </x:c>
      <x:c r="L36" s="6" t="str"/>
    </x:row>
    <x:row r="37">
      <x:c r="A37" s="5" t="str">
        <x:v>T033</x:v>
      </x:c>
      <x:c r="B37" s="5" t="str">
        <x:v>P3 页面</x:v>
      </x:c>
      <x:c r="C37" s="6" t="str">
        <x:v>完成FG401三肥一酸页面</x:v>
      </x:c>
      <x:c r="D37" s="6" t="str">
        <x:v>已审核英文页面</x:v>
      </x:c>
      <x:c r="E37" s="6" t="str">
        <x:v>GPT 产品 研发</x:v>
      </x:c>
      <x:c r="F37" s="5" t="str">
        <x:v>P0</x:v>
      </x:c>
      <x:c r="G37" s="5" t="n">
        <x:v>2</x:v>
      </x:c>
      <x:c r="H37" s="6" t="str">
        <x:v>T005,T014,T016:T018,T025</x:v>
      </x:c>
      <x:c r="I37" s="7" t="str">
        <x:v>确认资料</x:v>
      </x:c>
      <x:c r="J37" s="6" t="str">
        <x:v>未开始</x:v>
      </x:c>
      <x:c r="K37" s="6" t="str">
        <x:v>删除现有错误的大流量和通道描述</x:v>
      </x:c>
      <x:c r="L37" s="6" t="str"/>
    </x:row>
    <x:row r="38">
      <x:c r="A38" s="5" t="str">
        <x:v>T034</x:v>
      </x:c>
      <x:c r="B38" s="5" t="str">
        <x:v>P3 页面</x:v>
      </x:c>
      <x:c r="C38" s="6" t="str">
        <x:v>完成ECpH301页面</x:v>
      </x:c>
      <x:c r="D38" s="6" t="str">
        <x:v>已审核英文页面</x:v>
      </x:c>
      <x:c r="E38" s="6" t="str">
        <x:v>GPT 产品 研发</x:v>
      </x:c>
      <x:c r="F38" s="5" t="str">
        <x:v>P0</x:v>
      </x:c>
      <x:c r="G38" s="5" t="n">
        <x:v>2</x:v>
      </x:c>
      <x:c r="H38" s="6" t="str">
        <x:v>T006,T015:T018,T025</x:v>
      </x:c>
      <x:c r="I38" s="7" t="str">
        <x:v>确认资料</x:v>
      </x:c>
      <x:c r="J38" s="6" t="str">
        <x:v>未开始</x:v>
      </x:c>
      <x:c r="K38" s="6" t="str">
        <x:v>闭环控制 输出 接口和供货边界清楚</x:v>
      </x:c>
      <x:c r="L38" s="6" t="str"/>
    </x:row>
    <x:row r="39">
      <x:c r="A39" s="5" t="str">
        <x:v>T035</x:v>
      </x:c>
      <x:c r="B39" s="5" t="str">
        <x:v>P3 页面</x:v>
      </x:c>
      <x:c r="C39" s="6" t="str">
        <x:v>完成ECpH501页面</x:v>
      </x:c>
      <x:c r="D39" s="6" t="str">
        <x:v>已审核英文页面</x:v>
      </x:c>
      <x:c r="E39" s="6" t="str">
        <x:v>GPT 产品 研发</x:v>
      </x:c>
      <x:c r="F39" s="5" t="str">
        <x:v>P0</x:v>
      </x:c>
      <x:c r="G39" s="5" t="n">
        <x:v>3</x:v>
      </x:c>
      <x:c r="H39" s="6" t="str">
        <x:v>T007,T015:T018,T025</x:v>
      </x:c>
      <x:c r="I39" s="7" t="str">
        <x:v>确认资料</x:v>
      </x:c>
      <x:c r="J39" s="6" t="str">
        <x:v>未开始</x:v>
      </x:c>
      <x:c r="K39" s="6" t="str">
        <x:v>四肥一酸 混肥桶 双ECpH和配方准确</x:v>
      </x:c>
      <x:c r="L39" s="6" t="str"/>
    </x:row>
    <x:row r="40">
      <x:c r="A40" s="5" t="str">
        <x:v>T036</x:v>
      </x:c>
      <x:c r="B40" s="5" t="str">
        <x:v>P4 标准组合</x:v>
      </x:c>
      <x:c r="C40" s="6" t="str">
        <x:v>定义温室水肥组合</x:v>
      </x:c>
      <x:c r="D40" s="6" t="str">
        <x:v>标准BOM与询价表</x:v>
      </x:c>
      <x:c r="E40" s="6" t="str">
        <x:v>产品 销售 GPT</x:v>
      </x:c>
      <x:c r="F40" s="5" t="str">
        <x:v>P1</x:v>
      </x:c>
      <x:c r="G40" s="5" t="n">
        <x:v>2</x:v>
      </x:c>
      <x:c r="H40" s="6" t="str">
        <x:v>T029:T035</x:v>
      </x:c>
      <x:c r="I40" s="7" t="str">
        <x:v>标准产品和项目参数</x:v>
      </x:c>
      <x:c r="J40" s="6" t="str">
        <x:v>未开始</x:v>
      </x:c>
      <x:c r="K40" s="6" t="str">
        <x:v>无需重新设计即可重复报价</x:v>
      </x:c>
      <x:c r="L40" s="6" t="str"/>
    </x:row>
    <x:row r="41">
      <x:c r="A41" s="5" t="str">
        <x:v>T037</x:v>
      </x:c>
      <x:c r="B41" s="5" t="str">
        <x:v>P4 标准组合</x:v>
      </x:c>
      <x:c r="C41" s="6" t="str">
        <x:v>定义大田大流量组合</x:v>
      </x:c>
      <x:c r="D41" s="6" t="str">
        <x:v>标准BOM与询价表</x:v>
      </x:c>
      <x:c r="E41" s="6" t="str">
        <x:v>产品 销售 GPT</x:v>
      </x:c>
      <x:c r="F41" s="5" t="str">
        <x:v>P1</x:v>
      </x:c>
      <x:c r="G41" s="5" t="n">
        <x:v>2</x:v>
      </x:c>
      <x:c r="H41" s="6" t="str">
        <x:v>T031</x:v>
      </x:c>
      <x:c r="I41" s="7" t="str">
        <x:v>泵 流量 压力 面积参数</x:v>
      </x:c>
      <x:c r="J41" s="6" t="str">
        <x:v>未开始</x:v>
      </x:c>
      <x:c r="K41" s="6" t="str">
        <x:v>供货和客户责任清楚</x:v>
      </x:c>
      <x:c r="L41" s="6" t="str"/>
    </x:row>
    <x:row r="42">
      <x:c r="A42" s="5" t="str">
        <x:v>T038</x:v>
      </x:c>
      <x:c r="B42" s="5" t="str">
        <x:v>P4 标准组合</x:v>
      </x:c>
      <x:c r="C42" s="6" t="str">
        <x:v>定义实验室小温室组合</x:v>
      </x:c>
      <x:c r="D42" s="6" t="str">
        <x:v>标准BOM与询价表</x:v>
      </x:c>
      <x:c r="E42" s="6" t="str">
        <x:v>产品 销售 GPT</x:v>
      </x:c>
      <x:c r="F42" s="5" t="str">
        <x:v>P1</x:v>
      </x:c>
      <x:c r="G42" s="5" t="n">
        <x:v>2</x:v>
      </x:c>
      <x:c r="H42" s="6" t="str">
        <x:v>T032:T035</x:v>
      </x:c>
      <x:c r="I42" s="7" t="str">
        <x:v>配方 通道 流量和桶体参数</x:v>
      </x:c>
      <x:c r="J42" s="6" t="str">
        <x:v>未开始</x:v>
      </x:c>
      <x:c r="K42" s="6" t="str">
        <x:v>两肥一酸 三肥一酸和闭环升级关系清楚</x:v>
      </x:c>
      <x:c r="L42" s="6" t="str"/>
    </x:row>
    <x:row r="43">
      <x:c r="A43" s="5" t="str">
        <x:v>T039</x:v>
      </x:c>
      <x:c r="B43" s="5" t="str">
        <x:v>P4 标准组合</x:v>
      </x:c>
      <x:c r="C43" s="6" t="str">
        <x:v>定义果园无线组合</x:v>
      </x:c>
      <x:c r="D43" s="6" t="str">
        <x:v>标准BOM与询价表</x:v>
      </x:c>
      <x:c r="E43" s="6" t="str">
        <x:v>产品 销售 GPT</x:v>
      </x:c>
      <x:c r="F43" s="5" t="str">
        <x:v>P2</x:v>
      </x:c>
      <x:c r="G43" s="5" t="n">
        <x:v>2</x:v>
      </x:c>
      <x:c r="H43" s="6" t="str">
        <x:v>T020</x:v>
      </x:c>
      <x:c r="I43" s="7" t="str">
        <x:v>RIC01 IC05网关和泵节点资料</x:v>
      </x:c>
      <x:c r="J43" s="6" t="str">
        <x:v>未开始</x:v>
      </x:c>
      <x:c r="K43" s="6" t="str">
        <x:v>8 16 32点组合可以重复报价</x:v>
      </x:c>
      <x:c r="L43" s="6" t="str"/>
    </x:row>
    <x:row r="44">
      <x:c r="A44" s="5" t="str">
        <x:v>T040</x:v>
      </x:c>
      <x:c r="B44" s="5" t="str">
        <x:v>P5 OEM伙伴</x:v>
      </x:c>
      <x:c r="C44" s="6" t="str">
        <x:v>完成OEM规则页面</x:v>
      </x:c>
      <x:c r="D44" s="6" t="str">
        <x:v>OEM英文页面和表单</x:v>
      </x:c>
      <x:c r="E44" s="6" t="str">
        <x:v>GPT 销售 产品</x:v>
      </x:c>
      <x:c r="F44" s="5" t="str">
        <x:v>P1</x:v>
      </x:c>
      <x:c r="G44" s="5" t="n">
        <x:v>3</x:v>
      </x:c>
      <x:c r="H44" s="6" t="str">
        <x:v>T009,T021,T025</x:v>
      </x:c>
      <x:c r="I44" s="7" t="str">
        <x:v>OEM层级 MOQ NRE和流程</x:v>
      </x:c>
      <x:c r="J44" s="6" t="str">
        <x:v>未开始</x:v>
      </x:c>
      <x:c r="K44" s="6" t="str">
        <x:v>普通产品页不再重复无边界OEM承诺</x:v>
      </x:c>
      <x:c r="L44" s="6" t="str"/>
    </x:row>
    <x:row r="45">
      <x:c r="A45" s="5" t="str">
        <x:v>T041</x:v>
      </x:c>
      <x:c r="B45" s="5" t="str">
        <x:v>P5 平台</x:v>
      </x:c>
      <x:c r="C45" s="6" t="str">
        <x:v>完成第三方设备接入页面</x:v>
      </x:c>
      <x:c r="D45" s="6" t="str">
        <x:v>Integration英文页面</x:v>
      </x:c>
      <x:c r="E45" s="6" t="str">
        <x:v>GPT 研发</x:v>
      </x:c>
      <x:c r="F45" s="5" t="str">
        <x:v>P1</x:v>
      </x:c>
      <x:c r="G45" s="5" t="n">
        <x:v>3</x:v>
      </x:c>
      <x:c r="H45" s="6" t="str">
        <x:v>T020:T021</x:v>
      </x:c>
      <x:c r="I45" s="7" t="str">
        <x:v>协议 支持范围和责任边界</x:v>
      </x:c>
      <x:c r="J45" s="6" t="str">
        <x:v>未开始</x:v>
      </x:c>
      <x:c r="K45" s="6" t="str">
        <x:v>标准 配置 深度接入分级清楚</x:v>
      </x:c>
      <x:c r="L45" s="6" t="str"/>
    </x:row>
    <x:row r="46">
      <x:c r="A46" s="5" t="str">
        <x:v>T042</x:v>
      </x:c>
      <x:c r="B46" s="5" t="str">
        <x:v>P5 演示</x:v>
      </x:c>
      <x:c r="C46" s="6" t="str">
        <x:v>修复实时演示在线证据</x:v>
      </x:c>
      <x:c r="D46" s="6" t="str">
        <x:v>稳定只读演示</x:v>
      </x:c>
      <x:c r="E46" s="6" t="str">
        <x:v>研发 网站</x:v>
      </x:c>
      <x:c r="F46" s="5" t="str">
        <x:v>P1</x:v>
      </x:c>
      <x:c r="G46" s="5" t="n">
        <x:v>3</x:v>
      </x:c>
      <x:c r="H46" s="6" t="str">
        <x:v>T021</x:v>
      </x:c>
      <x:c r="I46" s="7" t="str">
        <x:v>在线样机 数据新鲜度和降级策略</x:v>
      </x:c>
      <x:c r="J46" s="6" t="str">
        <x:v>未开始</x:v>
      </x:c>
      <x:c r="K46" s="6" t="str">
        <x:v>至少一台长期在线且离线状态诚实呈现</x:v>
      </x:c>
      <x:c r="L46" s="6" t="str"/>
    </x:row>
    <x:row r="47">
      <x:c r="A47" s="5" t="str">
        <x:v>T043</x:v>
      </x:c>
      <x:c r="B47" s="5" t="str">
        <x:v>P6 QA上线</x:v>
      </x:c>
      <x:c r="C47" s="6" t="str">
        <x:v>完成SEO 链接和结构化数据检查</x:v>
      </x:c>
      <x:c r="D47" s="6" t="str">
        <x:v>QA报告</x:v>
      </x:c>
      <x:c r="E47" s="6" t="str">
        <x:v>GPT 网站</x:v>
      </x:c>
      <x:c r="F47" s="5" t="str">
        <x:v>P0</x:v>
      </x:c>
      <x:c r="G47" s="5" t="n">
        <x:v>3</x:v>
      </x:c>
      <x:c r="H47" s="6" t="str">
        <x:v>T024:T042</x:v>
      </x:c>
      <x:c r="I47" s="7" t="str">
        <x:v>本地构建和URL清单</x:v>
      </x:c>
      <x:c r="J47" s="6" t="str">
        <x:v>未开始</x:v>
      </x:c>
      <x:c r="K47" s="6" t="str">
        <x:v>无404 canonical hreflang sitemap和Product数据正确</x:v>
      </x:c>
      <x:c r="L47" s="6" t="str"/>
    </x:row>
    <x:row r="48">
      <x:c r="A48" s="5" t="str">
        <x:v>T044</x:v>
      </x:c>
      <x:c r="B48" s="5" t="str">
        <x:v>P6 QA上线</x:v>
      </x:c>
      <x:c r="C48" s="6" t="str">
        <x:v>完成移动端和转化追踪验收</x:v>
      </x:c>
      <x:c r="D48" s="6" t="str">
        <x:v>验收记录</x:v>
      </x:c>
      <x:c r="E48" s="6" t="str">
        <x:v>GPT 市场</x:v>
      </x:c>
      <x:c r="F48" s="5" t="str">
        <x:v>P0</x:v>
      </x:c>
      <x:c r="G48" s="5" t="n">
        <x:v>2</x:v>
      </x:c>
      <x:c r="H48" s="6" t="str">
        <x:v>T028,T043</x:v>
      </x:c>
      <x:c r="I48" s="7" t="str">
        <x:v>测试设备和广告事件</x:v>
      </x:c>
      <x:c r="J48" s="6" t="str">
        <x:v>未开始</x:v>
      </x:c>
      <x:c r="K48" s="6" t="str">
        <x:v>关键路径和事件均可复现</x:v>
      </x:c>
      <x:c r="L48" s="6" t="str"/>
    </x:row>
    <x:row r="49">
      <x:c r="A49" s="5" t="str">
        <x:v>T045</x:v>
      </x:c>
      <x:c r="B49" s="5" t="str">
        <x:v>P6 上线</x:v>
      </x:c>
      <x:c r="C49" s="6" t="str">
        <x:v>分批上线英文核心页面</x:v>
      </x:c>
      <x:c r="D49" s="6" t="str">
        <x:v>生产版本</x:v>
      </x:c>
      <x:c r="E49" s="6" t="str">
        <x:v>负责人 GPT 网站</x:v>
      </x:c>
      <x:c r="F49" s="5" t="str">
        <x:v>P0</x:v>
      </x:c>
      <x:c r="G49" s="5" t="n">
        <x:v>2</x:v>
      </x:c>
      <x:c r="H49" s="6" t="str">
        <x:v>T043:T044</x:v>
      </x:c>
      <x:c r="I49" s="7" t="str">
        <x:v>回滚方案和上线窗口</x:v>
      </x:c>
      <x:c r="J49" s="6" t="str">
        <x:v>未开始</x:v>
      </x:c>
      <x:c r="K49" s="6" t="str">
        <x:v>页面正常且Ads URL不变</x:v>
      </x:c>
      <x:c r="L49" s="6" t="str"/>
    </x:row>
    <x:row r="50">
      <x:c r="A50" s="5" t="str">
        <x:v>T046</x:v>
      </x:c>
      <x:c r="B50" s="5" t="str">
        <x:v>P6 多语言</x:v>
      </x:c>
      <x:c r="C50" s="6" t="str">
        <x:v>同步Ads重点市场语言</x:v>
      </x:c>
      <x:c r="D50" s="6" t="str">
        <x:v>重点语言页面</x:v>
      </x:c>
      <x:c r="E50" s="6" t="str">
        <x:v>GPT 市场</x:v>
      </x:c>
      <x:c r="F50" s="5" t="str">
        <x:v>P1</x:v>
      </x:c>
      <x:c r="G50" s="5" t="n">
        <x:v>5</x:v>
      </x:c>
      <x:c r="H50" s="6" t="str">
        <x:v>T045</x:v>
      </x:c>
      <x:c r="I50" s="7" t="str">
        <x:v>英语最终稿和语言优先级</x:v>
      </x:c>
      <x:c r="J50" s="6" t="str">
        <x:v>未开始</x:v>
      </x:c>
      <x:c r="K50" s="6" t="str">
        <x:v>重点市场术语和询价路径正确</x:v>
      </x:c>
      <x:c r="L50" s="6" t="str"/>
    </x:row>
    <x:row r="51">
      <x:c r="A51" s="5" t="str">
        <x:v>T047</x:v>
      </x:c>
      <x:c r="B51" s="5" t="str">
        <x:v>P7 优化</x:v>
      </x:c>
      <x:c r="C51" s="6" t="str">
        <x:v>建立90天经营复盘</x:v>
      </x:c>
      <x:c r="D51" s="6" t="str">
        <x:v>月度产品经营表</x:v>
      </x:c>
      <x:c r="E51" s="6" t="str">
        <x:v>负责人 销售 市场</x:v>
      </x:c>
      <x:c r="F51" s="5" t="str">
        <x:v>P1</x:v>
      </x:c>
      <x:c r="G51" s="5" t="n">
        <x:v>1</x:v>
      </x:c>
      <x:c r="H51" s="6" t="str">
        <x:v>T045</x:v>
      </x:c>
      <x:c r="I51" s="7" t="str">
        <x:v>Ads GA4 询盘 成交和毛利数据</x:v>
      </x:c>
      <x:c r="J51" s="6" t="str">
        <x:v>未开始</x:v>
      </x:c>
      <x:c r="K51" s="6" t="str">
        <x:v>按型号评估花费 询盘 成交 毛利和售后</x:v>
      </x:c>
      <x:c r="L51" s="6" t="str">
        <x:v>每月重复</x:v>
      </x:c>
    </x:row>
  </x:sheetData>
  <x:mergeCells>
    <x:mergeCell ref="A1:L1"/>
    <x:mergeCell ref="A2:L2"/>
  </x:mergeCells>
  <x:conditionalFormatting sqref="J5:J51">
    <x:cfRule type="containsText" dxfId="0" priority="1" operator="containsText" text="已完成"/>
    <x:cfRule type="containsText" dxfId="1" priority="2" operator="containsText" text="阻塞"/>
    <x:cfRule type="containsText" dxfId="2" priority="3" operator="containsText" text="进行中"/>
  </x:conditionalFormatting>
  <x:dataValidations count="2">
    <x:dataValidation type="list" sqref="J5:J51">
      <x:formula1>"未开始,进行中,待审核,已完成,阻塞,暂缓"</x:formula1>
    </x:dataValidation>
    <x:dataValidation type="list" sqref="F5:F51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689fc23e2414982"/>
  </x:tableParts>
</x:worksheet>
</file>

<file path=xl/worksheets/sheet3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4" hidden="0" customWidth="1"/>
    <x:col min="2" max="2" width="42" hidden="0" customWidth="1"/>
    <x:col min="3" max="3" width="58" hidden="0" customWidth="1"/>
    <x:col min="4" max="4" width="14" hidden="0" customWidth="1"/>
    <x:col min="5" max="5" width="14" hidden="0" customWidth="1"/>
  </x:cols>
  <x:sheetData>
    <x:row r="1">
      <x:c r="A1" s="30" t="str">
        <x:v>核心产品资料缺口</x:v>
      </x:c>
      <x:c r="B1" s="33"/>
      <x:c r="C1" s="33"/>
      <x:c r="D1" s="33"/>
      <x:c r="E1" s="33"/>
    </x:row>
    <x:row r="2">
      <x:c r="A2" s="33"/>
      <x:c r="B2" s="33"/>
      <x:c r="C2" s="33"/>
      <x:c r="D2" s="33"/>
      <x:c r="E2" s="33"/>
    </x:row>
    <x:row r="3">
      <x:c r="A3" s="27" t="str">
        <x:v>产品</x:v>
      </x:c>
      <x:c r="B3" s="27" t="str">
        <x:v>现有资料</x:v>
      </x:c>
      <x:c r="C3" s="27" t="str">
        <x:v>缺失或冲突</x:v>
      </x:c>
      <x:c r="D3" s="27" t="str">
        <x:v>当前完整度</x:v>
      </x:c>
      <x:c r="E3" s="27" t="str">
        <x:v>确认状态</x:v>
      </x:c>
    </x:row>
    <x:row r="4">
      <x:c r="A4" s="27" t="str">
        <x:v>智能版灌溉控制器</x:v>
      </x:c>
      <x:c r="B4" s="27" t="str">
        <x:v>Grow 16页面 控制柜图 界面图 架构图</x:v>
      </x:c>
      <x:c r="C4" s="28" t="str">
        <x:v>正式型号 4G与RJ45标准配置 真实整机照片 尺寸 端子 Datasheet MOQ交期</x:v>
      </x:c>
      <x:c r="D4" s="27" t="str">
        <x:v>中高</x:v>
      </x:c>
      <x:c r="E4" s="27" t="str">
        <x:v>待确认</x:v>
      </x:c>
    </x:row>
    <x:row r="5">
      <x:c r="A5" s="27" t="str">
        <x:v>本地版灌溉控制器</x:v>
      </x:c>
      <x:c r="B5" s="27" t="str">
        <x:v>MC-16 Local页面 组合图 触摸屏图</x:v>
      </x:c>
      <x:c r="C5" s="28" t="str">
        <x:v>固定产品主图 内部 端子 尺寸 AC DC输出规则 Datasheet MOQ交期</x:v>
      </x:c>
      <x:c r="D5" s="27" t="str">
        <x:v>高</x:v>
      </x:c>
      <x:c r="E5" s="27" t="str">
        <x:v>待确认</x:v>
      </x:c>
    </x:row>
    <x:row r="6">
      <x:c r="A6" s="27" t="str">
        <x:v>大流量FG301</x:v>
      </x:c>
      <x:c r="B6" s="27" t="str">
        <x:v>旧页面 单张产品图 FG3 PDF</x:v>
      </x:c>
      <x:c r="C6" s="28" t="str">
        <x:v>定位重写 命名区分 泵流量扬程电压 供货边界 完整照片 商业数据</x:v>
      </x:c>
      <x:c r="D6" s="27" t="str">
        <x:v>中</x:v>
      </x:c>
      <x:c r="E6" s="27" t="str">
        <x:v>待确认</x:v>
      </x:c>
    </x:row>
    <x:row r="7">
      <x:c r="A7" s="27" t="str">
        <x:v>蠕动泵两肥一酸</x:v>
      </x:c>
      <x:c r="B7" s="27" t="str">
        <x:v>少量家族素材</x:v>
      </x:c>
      <x:c r="C7" s="28" t="str">
        <x:v>独立型号 全部参数 固定照片 页面 Datasheet MOQ交期</x:v>
      </x:c>
      <x:c r="D7" s="27" t="str">
        <x:v>低</x:v>
      </x:c>
      <x:c r="E7" s="27" t="str">
        <x:v>待确认</x:v>
      </x:c>
    </x:row>
    <x:row r="8">
      <x:c r="A8" s="27" t="str">
        <x:v>FG401三肥一酸</x:v>
      </x:c>
      <x:c r="B8" s="27" t="str">
        <x:v>旧页面 单张照片</x:v>
      </x:c>
      <x:c r="C8" s="28" t="str">
        <x:v>现有页面参数与新定义冲突 需重新确认蠕动泵 通道 ECpH和应用</x:v>
      </x:c>
      <x:c r="D8" s="27" t="str">
        <x:v>低</x:v>
      </x:c>
      <x:c r="E8" s="27" t="str">
        <x:v>待确认</x:v>
      </x:c>
    </x:row>
    <x:row r="9">
      <x:c r="A9" s="27" t="str">
        <x:v>PKY-ECpH-301</x:v>
      </x:c>
      <x:c r="B9" s="27" t="str">
        <x:v>工程页面 ECpH文档 控制界面素材</x:v>
      </x:c>
      <x:c r="C9" s="28" t="str">
        <x:v>真实主图 探头 精度 校准 输出 接口 尺寸 供货范围 商业数据</x:v>
      </x:c>
      <x:c r="D9" s="27" t="str">
        <x:v>中</x:v>
      </x:c>
      <x:c r="E9" s="27" t="str">
        <x:v>待确认</x:v>
      </x:c>
    </x:row>
    <x:row r="10">
      <x:c r="A10" s="27" t="str">
        <x:v>PKY-ECpH-501</x:v>
      </x:c>
      <x:c r="B10" s="27" t="str">
        <x:v>现有FG501丰富内容 家族图片</x:v>
      </x:c>
      <x:c r="C10" s="28" t="str">
        <x:v>型号关系 桶容积 四肥一酸 双ECpH位置 标准照片 Datasheet 商业数据</x:v>
      </x:c>
      <x:c r="D10" s="27" t="str">
        <x:v>中</x:v>
      </x:c>
      <x:c r="E10" s="27" t="str">
        <x:v>待确认</x:v>
      </x:c>
    </x:row>
  </x:sheetData>
  <x:mergeCells>
    <x:mergeCell ref="A1:E1"/>
  </x:mergeCells>
  <x:dataValidations count="1">
    <x:dataValidation type="list" sqref="E4:E10">
      <x:formula1>"待确认,资料收集中,已确认,不适用"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64cdc19ff154161"/>
  </x:tableParts>
</x:worksheet>
</file>

<file path=xl/worksheets/sheet4.xml><?xml version="1.0" encoding="utf-8"?>
<x:worksheet xmlns:x="http://schemas.openxmlformats.org/spreadsheetml/2006/main">
  <x:sheetPr>
    <x:tabColor rgb="FFED7D31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0" hidden="0" customWidth="1"/>
    <x:col min="2" max="2" width="48" hidden="0" customWidth="1"/>
    <x:col min="3" max="3" width="18" hidden="0" customWidth="1"/>
    <x:col min="4" max="4" width="10" hidden="0" customWidth="1"/>
    <x:col min="5" max="5" width="14" hidden="0" customWidth="1"/>
    <x:col min="6" max="6" width="38" hidden="0" customWidth="1"/>
  </x:cols>
  <x:sheetData>
    <x:row r="1">
      <x:c r="A1" s="30" t="str">
        <x:v>待确认事项与决策记录</x:v>
      </x:c>
      <x:c r="B1" s="33"/>
      <x:c r="C1" s="33"/>
      <x:c r="D1" s="33"/>
      <x:c r="E1" s="33"/>
      <x:c r="F1" s="33"/>
    </x:row>
    <x:row r="2">
      <x:c r="A2" s="33"/>
      <x:c r="B2" s="33"/>
      <x:c r="C2" s="33"/>
      <x:c r="D2" s="33"/>
      <x:c r="E2" s="33"/>
      <x:c r="F2" s="33"/>
    </x:row>
    <x:row r="3">
      <x:c r="A3" s="27" t="str">
        <x:v>编号</x:v>
      </x:c>
      <x:c r="B3" s="27" t="str">
        <x:v>决策事项</x:v>
      </x:c>
      <x:c r="C3" s="27" t="str">
        <x:v>责任角色</x:v>
      </x:c>
      <x:c r="D3" s="27" t="str">
        <x:v>优先级</x:v>
      </x:c>
      <x:c r="E3" s="27" t="str">
        <x:v>状态</x:v>
      </x:c>
      <x:c r="F3" s="27" t="str">
        <x:v>影响</x:v>
      </x:c>
    </x:row>
    <x:row r="4">
      <x:c r="A4" s="27" t="str">
        <x:v>D001</x:v>
      </x:c>
      <x:c r="B4" s="28" t="str">
        <x:v>智能版正式型号是否沿用Grow 16</x:v>
      </x:c>
      <x:c r="C4" s="27" t="str">
        <x:v>负责人</x:v>
      </x:c>
      <x:c r="D4" s="27" t="str">
        <x:v>P0</x:v>
      </x:c>
      <x:c r="E4" s="27" t="str">
        <x:v>待确认</x:v>
      </x:c>
      <x:c r="F4" s="27" t="str">
        <x:v>型号和现有URL映射</x:v>
      </x:c>
    </x:row>
    <x:row r="5">
      <x:c r="A5" s="27" t="str">
        <x:v>D002</x:v>
      </x:c>
      <x:c r="B5" s="28" t="str">
        <x:v>智能版4G和RJ45是否均为标准配置</x:v>
      </x:c>
      <x:c r="C5" s="27" t="str">
        <x:v>产品 研发</x:v>
      </x:c>
      <x:c r="D5" s="27" t="str">
        <x:v>P0</x:v>
      </x:c>
      <x:c r="E5" s="27" t="str">
        <x:v>待确认</x:v>
      </x:c>
      <x:c r="F5" s="27" t="str">
        <x:v>网站当前写4G可选</x:v>
      </x:c>
    </x:row>
    <x:row r="6">
      <x:c r="A6" s="27" t="str">
        <x:v>D003</x:v>
      </x:c>
      <x:c r="B6" s="28" t="str">
        <x:v>本地版是否正式使用MC-16 Local</x:v>
      </x:c>
      <x:c r="C6" s="27" t="str">
        <x:v>负责人</x:v>
      </x:c>
      <x:c r="D6" s="27" t="str">
        <x:v>P0</x:v>
      </x:c>
      <x:c r="E6" s="27" t="str">
        <x:v>待确认</x:v>
      </x:c>
      <x:c r="F6" s="27" t="str">
        <x:v>影响页面标题和资料</x:v>
      </x:c>
    </x:row>
    <x:row r="7">
      <x:c r="A7" s="27" t="str">
        <x:v>D004</x:v>
      </x:c>
      <x:c r="B7" s="28" t="str">
        <x:v>大流量FG301与蠕动泵版的新型号</x:v>
      </x:c>
      <x:c r="C7" s="27" t="str">
        <x:v>负责人 产品</x:v>
      </x:c>
      <x:c r="D7" s="27" t="str">
        <x:v>P0</x:v>
      </x:c>
      <x:c r="E7" s="27" t="str">
        <x:v>待确认</x:v>
      </x:c>
      <x:c r="F7" s="27" t="str">
        <x:v>不能两个不同产品共用FG301</x:v>
      </x:c>
    </x:row>
    <x:row r="8">
      <x:c r="A8" s="27" t="str">
        <x:v>D005</x:v>
      </x:c>
      <x:c r="B8" s="28" t="str">
        <x:v>FG401是否三肥一酸及是否带ECpH闭环</x:v>
      </x:c>
      <x:c r="C8" s="27" t="str">
        <x:v>产品 研发</x:v>
      </x:c>
      <x:c r="D8" s="27" t="str">
        <x:v>P0</x:v>
      </x:c>
      <x:c r="E8" s="27" t="str">
        <x:v>待确认</x:v>
      </x:c>
      <x:c r="F8" s="27" t="str">
        <x:v>当前页面为4通道大流量闭环</x:v>
      </x:c>
    </x:row>
    <x:row r="9">
      <x:c r="A9" s="27" t="str">
        <x:v>D006</x:v>
      </x:c>
      <x:c r="B9" s="28" t="str">
        <x:v>ECpH501是否替代FG501名称</x:v>
      </x:c>
      <x:c r="C9" s="27" t="str">
        <x:v>负责人 产品</x:v>
      </x:c>
      <x:c r="D9" s="27" t="str">
        <x:v>P0</x:v>
      </x:c>
      <x:c r="E9" s="27" t="str">
        <x:v>待确认</x:v>
      </x:c>
      <x:c r="F9" s="27" t="str">
        <x:v>影响URL 保留策略和资料</x:v>
      </x:c>
    </x:row>
    <x:row r="10">
      <x:c r="A10" s="27" t="str">
        <x:v>D007</x:v>
      </x:c>
      <x:c r="B10" s="28" t="str">
        <x:v>ECpH501混肥桶容积和双检测位置</x:v>
      </x:c>
      <x:c r="C10" s="27" t="str">
        <x:v>研发</x:v>
      </x:c>
      <x:c r="D10" s="27" t="str">
        <x:v>P0</x:v>
      </x:c>
      <x:c r="E10" s="27" t="str">
        <x:v>待确认</x:v>
      </x:c>
      <x:c r="F10" s="27" t="str">
        <x:v>影响参数和系统图</x:v>
      </x:c>
    </x:row>
    <x:row r="11">
      <x:c r="A11" s="27" t="str">
        <x:v>D008</x:v>
      </x:c>
      <x:c r="B11" s="28" t="str">
        <x:v>各型号标准MOQ和样机政策</x:v>
      </x:c>
      <x:c r="C11" s="27" t="str">
        <x:v>负责人 销售</x:v>
      </x:c>
      <x:c r="D11" s="27" t="str">
        <x:v>P0</x:v>
      </x:c>
      <x:c r="E11" s="27" t="str">
        <x:v>待确认</x:v>
      </x:c>
      <x:c r="F11" s="27" t="str">
        <x:v>低MOQ但非无条件</x:v>
      </x:c>
    </x:row>
    <x:row r="12">
      <x:c r="A12" s="27" t="str">
        <x:v>D009</x:v>
      </x:c>
      <x:c r="B12" s="28" t="str">
        <x:v>OEM各层级MOQ NRE和样机费</x:v>
      </x:c>
      <x:c r="C12" s="27" t="str">
        <x:v>负责人 销售</x:v>
      </x:c>
      <x:c r="D12" s="27" t="str">
        <x:v>P0</x:v>
      </x:c>
      <x:c r="E12" s="27" t="str">
        <x:v>待确认</x:v>
      </x:c>
      <x:c r="F12" s="27" t="str">
        <x:v>独立OEM页面使用</x:v>
      </x:c>
    </x:row>
    <x:row r="13">
      <x:c r="A13" s="27" t="str">
        <x:v>D010</x:v>
      </x:c>
      <x:c r="B13" s="28" t="str">
        <x:v>各型号认证状态和公开范围</x:v>
      </x:c>
      <x:c r="C13" s="27" t="str">
        <x:v>负责人 产品</x:v>
      </x:c>
      <x:c r="D13" s="27" t="str">
        <x:v>P0</x:v>
      </x:c>
      <x:c r="E13" s="27" t="str">
        <x:v>待确认</x:v>
      </x:c>
      <x:c r="F13" s="27" t="str">
        <x:v>没有证据不得公开宣称</x:v>
      </x:c>
    </x:row>
  </x:sheetData>
  <x:mergeCells>
    <x:mergeCell ref="A1:F1"/>
  </x:mergeCells>
  <x:dataValidations count="1">
    <x:dataValidation type="list" sqref="E4:E13">
      <x:formula1>"待确认,讨论中,已批准,不批准,暂缓"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e79ba928f254fb6"/>
  </x:tableParts>
</x:worksheet>
</file>

<file path=xl/worksheets/sheet5.xml><?xml version="1.0" encoding="utf-8"?>
<x:worksheet xmlns:x="http://schemas.openxmlformats.org/spreadsheetml/2006/main">
  <x:sheetPr>
    <x:tabColor rgb="FF70AD47"/>
  </x:sheetPr>
  <x:sheetViews>
    <x:sheetView showGridLines="0" workbookViewId="0"/>
  </x:sheetViews>
  <x:sheetFormatPr defaultRowHeight="15"/>
  <x:cols>
    <x:col min="1" max="1" width="18" hidden="0" customWidth="1"/>
    <x:col min="2" max="2" width="38" hidden="0" customWidth="1"/>
    <x:col min="3" max="3" width="40" hidden="0" customWidth="1"/>
    <x:col min="4" max="4" width="28" hidden="0" customWidth="1"/>
    <x:col min="5" max="5" width="34" hidden="0" customWidth="1"/>
  </x:cols>
  <x:sheetData>
    <x:row r="1">
      <x:c r="A1" s="30" t="str">
        <x:v>OEM与合作伙伴规则</x:v>
      </x:c>
      <x:c r="B1" s="33"/>
      <x:c r="C1" s="33"/>
      <x:c r="D1" s="33"/>
      <x:c r="E1" s="33"/>
    </x:row>
    <x:row r="2">
      <x:c r="A2" s="33"/>
      <x:c r="B2" s="33"/>
      <x:c r="C2" s="33"/>
      <x:c r="D2" s="33"/>
      <x:c r="E2" s="33"/>
    </x:row>
    <x:row r="3">
      <x:c r="A3" s="27" t="str">
        <x:v>层级</x:v>
      </x:c>
      <x:c r="B3" s="27" t="str">
        <x:v>内容</x:v>
      </x:c>
      <x:c r="C3" s="27" t="str">
        <x:v>最低要求</x:v>
      </x:c>
      <x:c r="D3" s="27" t="str">
        <x:v>费用机制</x:v>
      </x:c>
      <x:c r="E3" s="27" t="str">
        <x:v>网站表达</x:v>
      </x:c>
    </x:row>
    <x:row r="4">
      <x:c r="A4" s="27" t="str">
        <x:v>标准产品</x:v>
      </x:c>
      <x:c r="B4" s="27" t="str">
        <x:v>现有型号 外观 软件</x:v>
      </x:c>
      <x:c r="C4" s="27" t="str">
        <x:v>按型号标准MOQ</x:v>
      </x:c>
      <x:c r="D4" s="27" t="str">
        <x:v>标准产品报价</x:v>
      </x:c>
      <x:c r="E4" s="27" t="str">
        <x:v>Standard model</x:v>
      </x:c>
    </x:row>
    <x:row r="5">
      <x:c r="A5" s="27" t="str">
        <x:v>轻度定制</x:v>
      </x:c>
      <x:c r="B5" s="27" t="str">
        <x:v>Logo 铭牌 包装 语言 参数预设</x:v>
      </x:c>
      <x:c r="C5" s="27" t="str">
        <x:v>单独MOQ和明确首单</x:v>
      </x:c>
      <x:c r="D5" s="27" t="str">
        <x:v>制版 配置 样品费用</x:v>
      </x:c>
      <x:c r="E5" s="27" t="str">
        <x:v>Available subject to MOQ</x:v>
      </x:c>
    </x:row>
    <x:row r="6">
      <x:c r="A6" s="27" t="str">
        <x:v>工程定制</x:v>
      </x:c>
      <x:c r="B6" s="27" t="str">
        <x:v>外壳 PCB 固件 UI 协议 电气</x:v>
      </x:c>
      <x:c r="C6" s="27" t="str">
        <x:v>数量 市场 技术评审 需求冻结</x:v>
      </x:c>
      <x:c r="D6" s="27" t="str">
        <x:v>NRE 样机费 认证费</x:v>
      </x:c>
      <x:c r="E6" s="27" t="str">
        <x:v>Engineering review required</x:v>
      </x:c>
    </x:row>
    <x:row r="7">
      <x:c r="A7" s="27" t="str">
        <x:v>平台合作</x:v>
      </x:c>
      <x:c r="B7" s="27" t="str">
        <x:v>第三方设备 设备模板 私有部署</x:v>
      </x:c>
      <x:c r="C7" s="27" t="str">
        <x:v>协议资料 设备数量 运维责任 商业模式</x:v>
      </x:c>
      <x:c r="D7" s="27" t="str">
        <x:v>集成费 服务费或项目费</x:v>
      </x:c>
      <x:c r="E7" s="27" t="str">
        <x:v>Validated device integration</x:v>
      </x:c>
    </x:row>
    <x:row r="8">
      <x:c r="A8" s="33"/>
      <x:c r="B8" s="33"/>
      <x:c r="C8" s="33"/>
      <x:c r="D8" s="33"/>
      <x:c r="E8" s="33"/>
    </x:row>
    <x:row r="9">
      <x:c r="A9" s="33"/>
      <x:c r="B9" s="33"/>
      <x:c r="C9" s="33"/>
      <x:c r="D9" s="33"/>
      <x:c r="E9" s="33"/>
    </x:row>
    <x:row r="10">
      <x:c r="A10" s="34" t="str">
        <x:v>推荐统一文案</x:v>
      </x:c>
      <x:c r="B10" s="33"/>
      <x:c r="C10" s="33"/>
      <x:c r="D10" s="33"/>
      <x:c r="E10" s="33"/>
    </x:row>
    <x:row r="11" ht="70" customHeight="1">
      <x:c r="A11" s="18" t="str">
        <x:v>Standard model with project options available. OEM, private label and engineering changes are subject to technical review, MOQ and commercial terms. Low MOQ is available for selected standard models; customized branding, firmware, hardware and packaging follow separate requirements.</x:v>
      </x:c>
      <x:c r="B11" s="33"/>
      <x:c r="C11" s="33"/>
      <x:c r="D11" s="33"/>
      <x:c r="E11" s="33"/>
    </x:row>
  </x:sheetData>
  <x:mergeCells>
    <x:mergeCell ref="A1:E1"/>
    <x:mergeCell ref="A10:E10"/>
    <x:mergeCell ref="A11:E13"/>
  </x:mergeCells>
  <x:pageMargins left="0.7" right="0.7" top="0.75" bottom="0.75" header="0.3" footer="0.3"/>
  <x:tableParts count="1">
    <x:tablePart xmlns:r="http://schemas.openxmlformats.org/officeDocument/2006/relationships" r:id="Rd1d9c113fb5e4d42"/>
  </x:tableParts>
</x:worksheet>
</file>